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Старт" sheetId="1" r:id="rId1"/>
    <sheet name="Главная" sheetId="2" r:id="rId2"/>
    <sheet name="Поставщики" sheetId="3" r:id="rId3"/>
    <sheet name="Фурнитура" sheetId="4" r:id="rId4"/>
    <sheet name="Заявки_Рондо" sheetId="5" r:id="rId5"/>
    <sheet name="Заявки_Партнер" sheetId="6" r:id="rId6"/>
    <sheet name="Заявки_Васильево" sheetId="7" r:id="rId7"/>
    <sheet name="Продажи" sheetId="8" r:id="rId8"/>
    <sheet name="Заказы" sheetId="9" r:id="rId9"/>
    <sheet name="Калькулятор" sheetId="10" r:id="rId10"/>
    <sheet name="Задачи" sheetId="11" r:id="rId11"/>
    <sheet name="Касса" sheetId="12" r:id="rId12"/>
    <sheet name="Грузчики" sheetId="13" r:id="rId13"/>
    <sheet name="Шпаргалки" sheetId="14" r:id="rId14"/>
    <sheet name="Аналитика" sheetId="15" r:id="rId15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22"/>
  <sheetViews>
    <sheetView workbookViewId="0"/>
  </sheetViews>
  <cols>
    <col min="1" max="1" width="92.83203125" customWidth="1"/>
  </cols>
  <sheetData>
    <row r="1">
      <c r="A1" t="str">
        <v>РЭЛАН — рабочая таблица салона</v>
      </c>
    </row>
    <row r="2">
      <c r="A2" t="str">
        <v>Источник логики: github.com/PilotAlya/Nova-2.0 + касса/грузчики салона</v>
      </c>
    </row>
    <row r="3">
      <c r="A3" t="str">
        <v/>
      </c>
    </row>
    <row r="4">
      <c r="A4" t="str">
        <v>Как открыть: залей xlsx на Диск → Открыть с помощью Google Таблицы → Сохранить как Google Таблицу.</v>
      </c>
    </row>
    <row r="5">
      <c r="A5" t="str">
        <v/>
      </c>
    </row>
    <row r="6">
      <c r="A6" t="str">
        <v>Листы из приложения Nova 2.0</v>
      </c>
    </row>
    <row r="7">
      <c r="A7" t="str">
        <v>Главная — цифры дня (выручка, мало товара, заказы, задачи)</v>
      </c>
    </row>
    <row r="8">
      <c r="A8" t="str">
        <v>Фурнитура — склад магазина: код Инфо, мин, закуп/продажа, статус</v>
      </c>
    </row>
    <row r="9">
      <c r="A9" t="str">
        <v>Продажи — чеки за день, способ оплаты</v>
      </c>
    </row>
    <row r="10">
      <c r="A10" t="str">
        <v>Заказы — Л-ки: клиент, размер, материал, статус, предоплата</v>
      </c>
    </row>
    <row r="11">
      <c r="A11" t="str">
        <v>Калькулятор — быстрый расчёт одной детали (полный раскрой в таблице неудобен)</v>
      </c>
    </row>
    <row r="12">
      <c r="A12" t="str">
        <v>Заявки_Рондо / Партнер / Васильево — сами с Фурнитуры, где «Заказать сейчас» &gt; 0</v>
      </c>
    </row>
    <row r="13">
      <c r="A13" t="str">
        <v>Задачи — утро / день / закрытие + сверка с Инфо</v>
      </c>
    </row>
    <row r="14">
      <c r="A14" t="str">
        <v>Шпаргалки — Инфопредприятие и вопросы клиенту</v>
      </c>
    </row>
    <row r="15">
      <c r="A15" t="str">
        <v>Аналитика — неделя выручки</v>
      </c>
    </row>
    <row r="16">
      <c r="A16" t="str">
        <v/>
      </c>
    </row>
    <row r="17">
      <c r="A17" t="str">
        <v>Только для салона (из рабочей тетради)</v>
      </c>
    </row>
    <row r="18">
      <c r="A18" t="str">
        <v>Касса — один ящик, «должно быть» = начало + нал − расход</v>
      </c>
    </row>
    <row r="19">
      <c r="A19" t="str">
        <v>Грузчики — заказ, сумма, подпись</v>
      </c>
    </row>
    <row r="20">
      <c r="A20" t="str">
        <v/>
      </c>
    </row>
    <row r="21">
      <c r="A21" t="str">
        <v>Не переносится в таблицу (нужно приложение): сканер камеры, пуш, цены WB/Ozon вживую, звуковые алерты.</v>
      </c>
    </row>
    <row r="22">
      <c r="A22" t="str">
        <v>Поставщики пиши как на листе Поставщики: Рондо / Ладья · Партнер · Васильево / Ортус</v>
      </c>
    </row>
  </sheetData>
  <ignoredErrors>
    <ignoredError numberStoredAsText="1" sqref="A1:A2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9"/>
  <sheetViews>
    <sheetView workbookViewId="0"/>
  </sheetViews>
  <cols>
    <col min="1" max="1" width="22.83203125" customWidth="1"/>
    <col min="2" max="2" width="14.83203125" customWidth="1"/>
    <col min="3" max="3" width="24.83203125" customWidth="1"/>
    <col min="4" max="4" width="14.83203125" customWidth="1"/>
    <col min="5" max="5" width="20.83203125" customWidth="1"/>
    <col min="6" max="6" width="14.83203125" customWidth="1"/>
    <col min="7" max="7" width="22.83203125" customWidth="1"/>
    <col min="8" max="8" width="14.83203125" customWidth="1"/>
  </cols>
  <sheetData>
    <row r="1">
      <c r="A1" t="str">
        <v>РЭЛАН — мебельный салон</v>
      </c>
      <c r="B1" t="str">
        <v/>
      </c>
      <c r="C1" t="str">
        <v/>
      </c>
      <c r="D1" t="str">
        <v/>
      </c>
      <c r="E1" t="str">
        <v/>
      </c>
      <c r="F1" t="str">
        <v/>
      </c>
      <c r="G1" t="str">
        <v/>
      </c>
      <c r="H1" t="str">
        <v/>
      </c>
    </row>
    <row r="2">
      <c r="A2" t="str">
        <v>Управление фурнитурой, заказами и продажами</v>
      </c>
      <c r="B2" t="str">
        <v/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</row>
    <row r="3">
      <c r="A3" t="str">
        <v/>
      </c>
    </row>
    <row r="4">
      <c r="A4" t="str">
        <v>Сегодня выручка, ₽</v>
      </c>
      <c r="B4" t="str">
        <v/>
      </c>
      <c r="C4" t="str">
        <v>Мало / нет товара</v>
      </c>
      <c r="D4" t="str">
        <v/>
      </c>
      <c r="E4" t="str">
        <v>Заказов в работе</v>
      </c>
      <c r="F4" t="str">
        <v/>
      </c>
      <c r="G4" t="str">
        <v>Задач не сделано</v>
      </c>
      <c r="H4" t="str">
        <v/>
      </c>
    </row>
    <row r="5">
      <c r="A5">
        <f>SUMIF(Продажи!A:A,TODAY(),Продажи!G:G)</f>
        <v>0</v>
      </c>
      <c r="B5" t="str">
        <v/>
      </c>
      <c r="C5">
        <f>COUNTIF(Фурнитура!O:O,"Заканчивается")+COUNTIF(Фурнитура!O:O,"Нет в наличии")</f>
        <v>0</v>
      </c>
      <c r="D5" t="str">
        <v/>
      </c>
      <c r="E5">
        <f>COUNTIF(Заказы!K:K,"Новый")+COUNTIF(Заказы!K:K,"В распиле")</f>
        <v>0</v>
      </c>
      <c r="F5" t="str">
        <v/>
      </c>
      <c r="G5">
        <f>COUNTIF(Задачи!D:D,"нет")</f>
        <v>0</v>
      </c>
      <c r="H5" t="str">
        <v/>
      </c>
    </row>
    <row r="6">
      <c r="A6">
        <f>COUNTIF(Продажи!A:A,TODAY())</f>
        <v>0</v>
      </c>
      <c r="B6" t="str">
        <v/>
      </c>
      <c r="C6" t="str">
        <v>смотри статус на Фурнитуре</v>
      </c>
      <c r="D6" t="str">
        <v/>
      </c>
      <c r="E6" t="str">
        <v>Новый + В распиле</v>
      </c>
      <c r="F6" t="str">
        <v/>
      </c>
      <c r="G6" t="str">
        <v>лист Задачи, колонка Готово</v>
      </c>
      <c r="H6" t="str">
        <v/>
      </c>
    </row>
    <row r="7">
      <c r="A7" t="str">
        <v/>
      </c>
    </row>
    <row r="8">
      <c r="A8" t="str">
        <v>Выручка за 7 дней, ₽</v>
      </c>
      <c r="B8" t="str">
        <v/>
      </c>
      <c r="C8" t="str">
        <v>Касса: должно быть в ящике</v>
      </c>
      <c r="D8" t="str">
        <v/>
      </c>
      <c r="E8" t="str">
        <v/>
      </c>
      <c r="F8" t="str">
        <v/>
      </c>
      <c r="G8" t="str">
        <v/>
      </c>
      <c r="H8" t="str">
        <v/>
      </c>
    </row>
    <row r="9">
      <c r="A9">
        <f>SUMIFS(Продажи!G:G,Продажи!A:A,"&gt;="&amp;TODAY()-6)</f>
        <v>0</v>
      </c>
      <c r="B9" t="str">
        <v/>
      </c>
      <c r="C9">
        <f>Касса!L2</f>
        <v>0</v>
      </c>
      <c r="D9" t="str">
        <v/>
      </c>
      <c r="E9" t="str">
        <v/>
      </c>
      <c r="F9" t="str">
        <v/>
      </c>
      <c r="G9" t="str">
        <v/>
      </c>
      <c r="H9" t="str">
        <v/>
      </c>
    </row>
  </sheetData>
  <ignoredErrors>
    <ignoredError numberStoredAsText="1" sqref="A1:H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4"/>
  <sheetViews>
    <sheetView workbookViewId="0"/>
  </sheetViews>
  <cols>
    <col min="1" max="1" width="22.83203125" customWidth="1"/>
  </cols>
  <sheetData>
    <row r="1">
      <c r="A1" t="str">
        <v>Поставщик</v>
      </c>
    </row>
    <row r="2">
      <c r="A2" t="str">
        <v>Рондо / Ладья</v>
      </c>
    </row>
    <row r="3">
      <c r="A3" t="str">
        <v>Партнер</v>
      </c>
    </row>
    <row r="4">
      <c r="A4" t="str">
        <v>Васильево / Ортус</v>
      </c>
    </row>
  </sheetData>
  <ignoredErrors>
    <ignoredError numberStoredAsText="1" sqref="A1:A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P6"/>
  <sheetViews>
    <sheetView workbookViewId="0"/>
  </sheetViews>
  <cols>
    <col min="1" max="1" width="12.83203125" customWidth="1"/>
    <col min="2" max="2" width="42.83203125" customWidth="1"/>
    <col min="3" max="3" width="18.83203125" customWidth="1"/>
    <col min="4" max="4" width="14.83203125" customWidth="1"/>
    <col min="5" max="5" width="8.83203125" customWidth="1"/>
    <col min="6" max="6" width="20.83203125" customWidth="1"/>
    <col min="7" max="7" width="18.83203125" customWidth="1"/>
    <col min="8" max="8" width="16.83203125" customWidth="1"/>
    <col min="9" max="9" width="14.83203125" customWidth="1"/>
    <col min="10" max="10" width="10.83203125" customWidth="1"/>
    <col min="11" max="11" width="12.83203125" customWidth="1"/>
    <col min="12" max="12" width="8.83203125" customWidth="1"/>
    <col min="13" max="13" width="16.83203125" customWidth="1"/>
    <col min="14" max="14" width="16.83203125" customWidth="1"/>
    <col min="15" max="15" width="18.83203125" customWidth="1"/>
    <col min="16" max="16" width="16.83203125" customWidth="1"/>
  </cols>
  <sheetData>
    <row r="1">
      <c r="A1" t="str">
        <v>Код (Инфо)</v>
      </c>
      <c r="B1" t="str">
        <v>Название</v>
      </c>
      <c r="C1" t="str">
        <v>Поставщик</v>
      </c>
      <c r="D1" t="str">
        <v>Остаток факт</v>
      </c>
      <c r="E1" t="str">
        <v>Мин</v>
      </c>
      <c r="F1" t="str">
        <v>Остаток в программе</v>
      </c>
      <c r="G1" t="str">
        <v>Последний привоз</v>
      </c>
      <c r="H1" t="str">
        <v>Заказать сейчас</v>
      </c>
      <c r="I1" t="str">
        <v>Категория</v>
      </c>
      <c r="J1" t="str">
        <v>Закуп</v>
      </c>
      <c r="K1" t="str">
        <v>Продажа</v>
      </c>
      <c r="L1" t="str">
        <v>Ед</v>
      </c>
      <c r="M1" t="str">
        <v>Штрихкод</v>
      </c>
      <c r="N1" t="str">
        <v>Полка</v>
      </c>
      <c r="O1" t="str">
        <v>Статус</v>
      </c>
      <c r="P1" t="str">
        <v>Недобор до мин</v>
      </c>
    </row>
    <row r="2">
      <c r="A2" t="str">
        <v>ИП-1042</v>
      </c>
      <c r="B2" t="str">
        <v>Петля накладная 110° CLIP-ON (пример)</v>
      </c>
      <c r="C2" t="str">
        <v>Партнер</v>
      </c>
      <c r="D2">
        <v>84</v>
      </c>
      <c r="E2">
        <v>50</v>
      </c>
      <c r="F2">
        <v>84</v>
      </c>
      <c r="G2">
        <v>50</v>
      </c>
      <c r="H2">
        <v>0</v>
      </c>
      <c r="I2" t="str">
        <v>петли</v>
      </c>
      <c r="J2">
        <v>68</v>
      </c>
      <c r="K2">
        <v>140</v>
      </c>
      <c r="L2" t="str">
        <v>шт</v>
      </c>
      <c r="M2" t="str">
        <v/>
      </c>
      <c r="N2" t="str">
        <v>Стеллаж П-1</v>
      </c>
      <c r="O2">
        <f>IF(A2="","",IF(D2=0,"Нет в наличии",IF(D2&lt;E2,"Заканчивается","В наличии")))</f>
        <v>0</v>
      </c>
      <c r="P2">
        <f>IF(A2="","",MAX(0,E2-D2))</f>
        <v>0</v>
      </c>
    </row>
    <row r="3">
      <c r="A3" t="str">
        <v>ИП-1043</v>
      </c>
      <c r="B3" t="str">
        <v>Петля полунакладная 110° (пример)</v>
      </c>
      <c r="C3" t="str">
        <v>Партнер</v>
      </c>
      <c r="D3">
        <v>12</v>
      </c>
      <c r="E3">
        <v>25</v>
      </c>
      <c r="F3">
        <v>12</v>
      </c>
      <c r="G3">
        <v>40</v>
      </c>
      <c r="H3">
        <v>13</v>
      </c>
      <c r="I3" t="str">
        <v>петли</v>
      </c>
      <c r="J3">
        <v>72</v>
      </c>
      <c r="K3">
        <v>150</v>
      </c>
      <c r="L3" t="str">
        <v>шт</v>
      </c>
      <c r="M3" t="str">
        <v/>
      </c>
      <c r="N3" t="str">
        <v>Стеллаж П-1</v>
      </c>
      <c r="O3">
        <f>IF(A3="","",IF(D3=0,"Нет в наличии",IF(D3&lt;E3,"Заканчивается","В наличии")))</f>
        <v>0</v>
      </c>
      <c r="P3">
        <f>IF(A3="","",MAX(0,E3-D3))</f>
        <v>0</v>
      </c>
    </row>
    <row r="4">
      <c r="A4" t="str">
        <v>ИП-1048</v>
      </c>
      <c r="B4" t="str">
        <v>Петля угловая 45° (пример)</v>
      </c>
      <c r="C4" t="str">
        <v>Рондо / Ладья</v>
      </c>
      <c r="D4">
        <v>6</v>
      </c>
      <c r="E4">
        <v>15</v>
      </c>
      <c r="F4">
        <v>6</v>
      </c>
      <c r="G4">
        <v>20</v>
      </c>
      <c r="H4">
        <v>9</v>
      </c>
      <c r="I4" t="str">
        <v>петли</v>
      </c>
      <c r="J4">
        <v>115</v>
      </c>
      <c r="K4">
        <v>240</v>
      </c>
      <c r="L4" t="str">
        <v>шт</v>
      </c>
      <c r="M4" t="str">
        <v/>
      </c>
      <c r="N4" t="str">
        <v>Стеллаж П-2</v>
      </c>
      <c r="O4">
        <f>IF(A4="","",IF(D4=0,"Нет в наличии",IF(D4&lt;E4,"Заканчивается","В наличии")))</f>
        <v>0</v>
      </c>
      <c r="P4">
        <f>IF(A4="","",MAX(0,E4-D4))</f>
        <v>0</v>
      </c>
    </row>
    <row r="5">
      <c r="A5" t="str">
        <v/>
      </c>
      <c r="B5" t="str">
        <v/>
      </c>
      <c r="C5" t="str">
        <v/>
      </c>
      <c r="D5" t="str">
        <v/>
      </c>
      <c r="E5" t="str">
        <v/>
      </c>
      <c r="F5" t="str">
        <v/>
      </c>
      <c r="G5" t="str">
        <v/>
      </c>
      <c r="H5" t="str">
        <v/>
      </c>
      <c r="I5" t="str">
        <v/>
      </c>
      <c r="J5" t="str">
        <v/>
      </c>
      <c r="K5" t="str">
        <v/>
      </c>
      <c r="L5" t="str">
        <v/>
      </c>
      <c r="M5" t="str">
        <v/>
      </c>
      <c r="N5" t="str">
        <v/>
      </c>
      <c r="O5">
        <f>IF(A5="","",IF(D5=0,"Нет в наличии",IF(D5&lt;E5,"Заканчивается","В наличии")))</f>
        <v>0</v>
      </c>
      <c r="P5">
        <f>IF(A5="","",MAX(0,E5-D5))</f>
        <v>0</v>
      </c>
    </row>
    <row r="6">
      <c r="A6" t="str">
        <v/>
      </c>
      <c r="B6" t="str">
        <v/>
      </c>
      <c r="C6" t="str">
        <v/>
      </c>
      <c r="D6" t="str">
        <v/>
      </c>
      <c r="E6" t="str">
        <v/>
      </c>
      <c r="F6" t="str">
        <v/>
      </c>
      <c r="G6" t="str">
        <v/>
      </c>
      <c r="H6" t="str">
        <v/>
      </c>
      <c r="I6" t="str">
        <v/>
      </c>
      <c r="J6" t="str">
        <v/>
      </c>
      <c r="K6" t="str">
        <v/>
      </c>
      <c r="L6" t="str">
        <v/>
      </c>
      <c r="M6" t="str">
        <v/>
      </c>
      <c r="N6" t="str">
        <v/>
      </c>
      <c r="O6">
        <f>IF(A6="","",IF(D6=0,"Нет в наличии",IF(D6&lt;E6,"Заканчивается","В наличии")))</f>
        <v>0</v>
      </c>
      <c r="P6">
        <f>IF(A6="","",MAX(0,E6-D6))</f>
        <v>0</v>
      </c>
    </row>
  </sheetData>
  <ignoredErrors>
    <ignoredError numberStoredAsText="1" sqref="A1:P6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cols>
    <col min="1" max="1" width="16.83203125" customWidth="1"/>
    <col min="2" max="2" width="40.83203125" customWidth="1"/>
    <col min="3" max="3" width="16.83203125" customWidth="1"/>
    <col min="4" max="4" width="18.83203125" customWidth="1"/>
    <col min="5" max="5" width="14.83203125" customWidth="1"/>
  </cols>
  <sheetData>
    <row r="1">
      <c r="A1">
        <f>QUERY(Фурнитура!A:H;"select A,B,G,H where C = 'Рондо / Ладья' and H &gt; 0";1)</f>
        <v>0</v>
      </c>
    </row>
  </sheetData>
  <ignoredErrors>
    <ignoredError numberStoredAsText="1" sqref="A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cols>
    <col min="1" max="1" width="16.83203125" customWidth="1"/>
    <col min="2" max="2" width="40.83203125" customWidth="1"/>
    <col min="3" max="3" width="16.83203125" customWidth="1"/>
    <col min="4" max="4" width="18.83203125" customWidth="1"/>
    <col min="5" max="5" width="14.83203125" customWidth="1"/>
  </cols>
  <sheetData>
    <row r="1">
      <c r="A1">
        <f>QUERY(Фурнитура!A:H;"select A,B,G,H where C = 'Партнер' and H &gt; 0";1)</f>
        <v>0</v>
      </c>
    </row>
  </sheetData>
  <ignoredErrors>
    <ignoredError numberStoredAsText="1" sqref="A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cols>
    <col min="1" max="1" width="16.83203125" customWidth="1"/>
    <col min="2" max="2" width="40.83203125" customWidth="1"/>
    <col min="3" max="3" width="16.83203125" customWidth="1"/>
    <col min="4" max="4" width="18.83203125" customWidth="1"/>
    <col min="5" max="5" width="14.83203125" customWidth="1"/>
  </cols>
  <sheetData>
    <row r="1">
      <c r="A1">
        <f>QUERY(Фурнитура!A:H;"select A,B,G,H where C = 'Васильево / Ортус' and H &gt; 0";1)</f>
        <v>0</v>
      </c>
    </row>
  </sheetData>
  <ignoredErrors>
    <ignoredError numberStoredAsText="1" sqref="A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cols>
    <col min="1" max="1" width="12.83203125" customWidth="1"/>
    <col min="2" max="2" width="10.83203125" customWidth="1"/>
    <col min="3" max="3" width="14.83203125" customWidth="1"/>
    <col min="4" max="4" width="36.83203125" customWidth="1"/>
    <col min="5" max="5" width="10.83203125" customWidth="1"/>
    <col min="6" max="6" width="10.83203125" customWidth="1"/>
    <col min="7" max="7" width="12.83203125" customWidth="1"/>
    <col min="8" max="8" width="16.83203125" customWidth="1"/>
    <col min="9" max="9" width="24.83203125" customWidth="1"/>
  </cols>
  <sheetData>
    <row r="1">
      <c r="A1" t="str">
        <v>Дата</v>
      </c>
      <c r="B1" t="str">
        <v>Время</v>
      </c>
      <c r="C1" t="str">
        <v>Код (Инфо)</v>
      </c>
      <c r="D1" t="str">
        <v>Название</v>
      </c>
      <c r="E1" t="str">
        <v>Кол-во</v>
      </c>
      <c r="F1" t="str">
        <v>Цена</v>
      </c>
      <c r="G1" t="str">
        <v>Сумма</v>
      </c>
      <c r="H1" t="str">
        <v>Оплата</v>
      </c>
      <c r="I1" t="str">
        <v>Комментарий</v>
      </c>
    </row>
    <row r="2">
      <c r="A2" t="str">
        <v>2026-09-09</v>
      </c>
      <c r="B2" t="str">
        <v>10:00</v>
      </c>
      <c r="C2" t="str">
        <v/>
      </c>
      <c r="D2" t="str">
        <v/>
      </c>
      <c r="E2">
        <v>0</v>
      </c>
      <c r="F2">
        <v>0</v>
      </c>
      <c r="G2">
        <f>IF(E2="","",E2*F2)</f>
        <v>0</v>
      </c>
      <c r="H2" t="str">
        <v>Наличные</v>
      </c>
      <c r="I2" t="str">
        <v/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</row>
    <row r="4">
      <c r="A4" t="str">
        <v/>
      </c>
      <c r="B4" t="str">
        <v/>
      </c>
      <c r="C4" t="str">
        <v/>
      </c>
      <c r="D4" t="str">
        <v/>
      </c>
      <c r="E4" t="str">
        <v/>
      </c>
      <c r="F4" t="str">
        <v/>
      </c>
      <c r="G4" t="str">
        <v/>
      </c>
      <c r="H4" t="str">
        <v/>
      </c>
      <c r="I4" t="str">
        <v/>
      </c>
    </row>
    <row r="5">
      <c r="A5" t="str">
        <v>Итого сегодня</v>
      </c>
      <c r="B5" t="str">
        <v/>
      </c>
      <c r="C5" t="str">
        <v/>
      </c>
      <c r="D5" t="str">
        <v/>
      </c>
      <c r="E5" t="str">
        <v/>
      </c>
      <c r="F5" t="str">
        <v/>
      </c>
      <c r="G5">
        <f>SUMIF(A:A,TODAY(),G:G)</f>
        <v>0</v>
      </c>
      <c r="H5" t="str">
        <v/>
      </c>
      <c r="I5" t="str">
        <v/>
      </c>
    </row>
    <row r="6">
      <c r="A6" t="str">
        <v>Итого вчера</v>
      </c>
      <c r="B6" t="str">
        <v/>
      </c>
      <c r="C6" t="str">
        <v/>
      </c>
      <c r="D6" t="str">
        <v/>
      </c>
      <c r="E6" t="str">
        <v/>
      </c>
      <c r="F6" t="str">
        <v/>
      </c>
      <c r="G6">
        <f>SUMIF(A:A,TODAY()-1,G:G)</f>
        <v>0</v>
      </c>
      <c r="H6" t="str">
        <v/>
      </c>
      <c r="I6" t="str">
        <v/>
      </c>
    </row>
    <row r="7">
      <c r="A7" t="str">
        <v>Итого 7 дней</v>
      </c>
      <c r="B7" t="str">
        <v/>
      </c>
      <c r="C7" t="str">
        <v/>
      </c>
      <c r="D7" t="str">
        <v/>
      </c>
      <c r="E7" t="str">
        <v/>
      </c>
      <c r="F7" t="str">
        <v/>
      </c>
      <c r="G7">
        <f>SUMIFS(G:G,A:A,"&gt;="&amp;TODAY()-6)</f>
        <v>0</v>
      </c>
      <c r="H7" t="str">
        <v/>
      </c>
      <c r="I7" t="str">
        <v/>
      </c>
    </row>
  </sheetData>
  <ignoredErrors>
    <ignoredError numberStoredAsText="1" sqref="A1:I7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M4"/>
  <sheetViews>
    <sheetView workbookViewId="0"/>
  </sheetViews>
  <cols>
    <col min="1" max="1" width="12.83203125" customWidth="1"/>
    <col min="2" max="2" width="12.83203125" customWidth="1"/>
    <col min="3" max="3" width="18.83203125" customWidth="1"/>
    <col min="4" max="4" width="16.83203125" customWidth="1"/>
    <col min="5" max="5" width="16.83203125" customWidth="1"/>
    <col min="6" max="6" width="16.83203125" customWidth="1"/>
    <col min="7" max="7" width="14.83203125" customWidth="1"/>
    <col min="8" max="8" width="10.83203125" customWidth="1"/>
    <col min="9" max="9" width="12.83203125" customWidth="1"/>
    <col min="10" max="10" width="12.83203125" customWidth="1"/>
    <col min="11" max="11" width="16.83203125" customWidth="1"/>
    <col min="12" max="12" width="12.83203125" customWidth="1"/>
    <col min="13" max="13" width="24.83203125" customWidth="1"/>
  </cols>
  <sheetData>
    <row r="1">
      <c r="A1" t="str">
        <v>№ заказа</v>
      </c>
      <c r="B1" t="str">
        <v>Дата</v>
      </c>
      <c r="C1" t="str">
        <v>Клиент</v>
      </c>
      <c r="D1" t="str">
        <v>Телефон</v>
      </c>
      <c r="E1" t="str">
        <v>Размер</v>
      </c>
      <c r="F1" t="str">
        <v>Материал</v>
      </c>
      <c r="G1" t="str">
        <v>Кромка</v>
      </c>
      <c r="H1" t="str">
        <v>Цена</v>
      </c>
      <c r="I1" t="str">
        <v>Предоплата</v>
      </c>
      <c r="J1" t="str">
        <v>К доплате</v>
      </c>
      <c r="K1" t="str">
        <v>Статус</v>
      </c>
      <c r="L1" t="str">
        <v>Срок</v>
      </c>
      <c r="M1" t="str">
        <v>Примечание</v>
      </c>
    </row>
    <row r="2">
      <c r="A2">
        <f>"Л/"&amp;TEXT(ROW()-1,"000")&amp;"/26"</f>
        <v>0</v>
      </c>
      <c r="B2" t="str">
        <v>2026-09-09</v>
      </c>
      <c r="C2" t="str">
        <v/>
      </c>
      <c r="D2" t="str">
        <v/>
      </c>
      <c r="E2" t="str">
        <v/>
      </c>
      <c r="F2" t="str">
        <v>Дуб Сонома</v>
      </c>
      <c r="G2" t="str">
        <v>Обе стороны</v>
      </c>
      <c r="H2">
        <v>0</v>
      </c>
      <c r="I2">
        <v>0</v>
      </c>
      <c r="J2">
        <f>IF(H2="","",H2-I2)</f>
        <v>0</v>
      </c>
      <c r="K2" t="str">
        <v>Новый</v>
      </c>
      <c r="L2">
        <f>IF(B2="","",B2+7)</f>
        <v>0</v>
      </c>
      <c r="M2" t="str">
        <v/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  <c r="M3" t="str">
        <v/>
      </c>
    </row>
    <row r="4">
      <c r="A4" t="str">
        <v/>
      </c>
      <c r="B4" t="str">
        <v/>
      </c>
      <c r="C4" t="str">
        <v/>
      </c>
      <c r="D4" t="str">
        <v/>
      </c>
      <c r="E4" t="str">
        <v/>
      </c>
      <c r="F4" t="str">
        <v/>
      </c>
      <c r="G4" t="str">
        <v/>
      </c>
      <c r="H4" t="str">
        <v/>
      </c>
      <c r="I4" t="str">
        <v/>
      </c>
      <c r="J4" t="str">
        <v/>
      </c>
      <c r="K4" t="str">
        <v/>
      </c>
      <c r="L4" t="str">
        <v/>
      </c>
      <c r="M4" t="str">
        <v/>
      </c>
    </row>
  </sheetData>
  <ignoredErrors>
    <ignoredError numberStoredAsText="1" sqref="A1:M4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B20"/>
  <sheetViews>
    <sheetView workbookViewId="0"/>
  </sheetViews>
  <cols>
    <col min="1" max="1" width="40.83203125" customWidth="1"/>
    <col min="2" max="2" width="18.83203125" customWidth="1"/>
  </cols>
  <sheetData>
    <row r="1">
      <c r="A1" t="str">
        <v>Калькулятор Л-ки (одна панель). Полный раскрой многих деталей — в приложении, здесь быстрый счёт.</v>
      </c>
    </row>
    <row r="2">
      <c r="A2" t="str">
        <v/>
      </c>
    </row>
    <row r="3">
      <c r="A3" t="str">
        <v>Ширина, мм</v>
      </c>
      <c r="B3">
        <v>2800</v>
      </c>
    </row>
    <row r="4">
      <c r="A4" t="str">
        <v>Высота, мм</v>
      </c>
      <c r="B4">
        <v>600</v>
      </c>
    </row>
    <row r="5">
      <c r="A5" t="str">
        <v>Материал</v>
      </c>
      <c r="B5" t="str">
        <v>Дуб Сонома</v>
      </c>
    </row>
    <row r="6">
      <c r="A6" t="str">
        <v>Кромка</v>
      </c>
      <c r="B6" t="str">
        <v>Обе стороны</v>
      </c>
    </row>
    <row r="7">
      <c r="A7" t="str">
        <v>Петель, шт</v>
      </c>
      <c r="B7">
        <v>4</v>
      </c>
    </row>
    <row r="8">
      <c r="A8" t="str">
        <v>Цена м² ЛДСП</v>
      </c>
      <c r="B8">
        <v>800</v>
      </c>
    </row>
    <row r="9">
      <c r="A9" t="str">
        <v>Кромка: обе стороны / одна / нет</v>
      </c>
      <c r="B9" t="str">
        <v>300 / 150 / 0</v>
      </c>
    </row>
    <row r="10">
      <c r="A10" t="str">
        <v>Петля, ₽</v>
      </c>
      <c r="B10">
        <v>200</v>
      </c>
    </row>
    <row r="11">
      <c r="A11" t="str">
        <v/>
      </c>
    </row>
    <row r="12">
      <c r="A12" t="str">
        <v>Площадь, м²</v>
      </c>
      <c r="B12">
        <f>B3*B4/1000000</f>
        <v>0</v>
      </c>
    </row>
    <row r="13">
      <c r="A13" t="str">
        <v>ЛДСП, ₽</v>
      </c>
      <c r="B13">
        <f>B12*B8</f>
        <v>0</v>
      </c>
    </row>
    <row r="14">
      <c r="A14" t="str">
        <v>Кромка, ₽</v>
      </c>
      <c r="B14">
        <f>IF(B6="Обе стороны",300,IF(OR(B6="Без кромки",B6="нет"),0,150))</f>
        <v>0</v>
      </c>
    </row>
    <row r="15">
      <c r="A15" t="str">
        <v>Петли, ₽</v>
      </c>
      <c r="B15">
        <f>B7*B10</f>
        <v>0</v>
      </c>
    </row>
    <row r="16">
      <c r="A16" t="str">
        <v>ИТОГО, ₽</v>
      </c>
      <c r="B16">
        <f>SUM(B13:B15)</f>
        <v>0</v>
      </c>
    </row>
    <row r="17">
      <c r="A17" t="str">
        <v/>
      </c>
    </row>
    <row r="18">
      <c r="A18" t="str">
        <v>Клиент</v>
      </c>
      <c r="B18" t="str">
        <v/>
      </c>
    </row>
    <row r="19">
      <c r="A19" t="str">
        <v>Телефон</v>
      </c>
      <c r="B19" t="str">
        <v/>
      </c>
    </row>
    <row r="20">
      <c r="A20" t="str">
        <v>Сохранить в Заказы вручную: скопируй ИТОГО и имя клиента</v>
      </c>
    </row>
  </sheetData>
  <ignoredErrors>
    <ignoredError numberStoredAsText="1" sqref="A1:B20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E10"/>
  <sheetViews>
    <sheetView workbookViewId="0"/>
  </sheetViews>
  <cols>
    <col min="1" max="1" width="12.83203125" customWidth="1"/>
    <col min="2" max="2" width="6.83203125" customWidth="1"/>
    <col min="3" max="3" width="78.83203125" customWidth="1"/>
    <col min="4" max="4" width="16.83203125" customWidth="1"/>
    <col min="5" max="5" width="24.83203125" customWidth="1"/>
  </cols>
  <sheetData>
    <row r="1">
      <c r="A1" t="str">
        <v>Категория</v>
      </c>
      <c r="B1" t="str">
        <v>№</v>
      </c>
      <c r="C1" t="str">
        <v>Действие</v>
      </c>
      <c r="D1" t="str">
        <v>Готово (да/нет)</v>
      </c>
      <c r="E1" t="str">
        <v>Комментарий</v>
      </c>
    </row>
    <row r="2">
      <c r="A2" t="str">
        <v>Утро</v>
      </c>
      <c r="B2">
        <v>1</v>
      </c>
      <c r="C2" t="str">
        <v>Включить Инфопредприятие → интерфейс кассира</v>
      </c>
      <c r="D2" t="str">
        <v>нет</v>
      </c>
      <c r="E2" t="str">
        <v/>
      </c>
    </row>
    <row r="3">
      <c r="A3" t="str">
        <v>Утро</v>
      </c>
      <c r="B3">
        <v>2</v>
      </c>
      <c r="C3" t="str">
        <v>Пересчитать наличку и сверить с «должно быть» на листе Касса</v>
      </c>
      <c r="D3" t="str">
        <v>нет</v>
      </c>
      <c r="E3" t="str">
        <v/>
      </c>
    </row>
    <row r="4">
      <c r="A4" t="str">
        <v>Утро</v>
      </c>
      <c r="B4">
        <v>3</v>
      </c>
      <c r="C4" t="str">
        <v>Чеки: сумма на чеках = сумма в программе</v>
      </c>
      <c r="D4" t="str">
        <v>нет</v>
      </c>
      <c r="E4" t="str">
        <v/>
      </c>
    </row>
    <row r="5">
      <c r="A5" t="str">
        <v>День</v>
      </c>
      <c r="B5">
        <v>4</v>
      </c>
      <c r="C5" t="str">
        <v>Продажи фурнитуры писать на лист Продажи (нал / карта)</v>
      </c>
      <c r="D5" t="str">
        <v>нет</v>
      </c>
      <c r="E5" t="str">
        <v/>
      </c>
    </row>
    <row r="6">
      <c r="A6" t="str">
        <v>День</v>
      </c>
      <c r="B6">
        <v>5</v>
      </c>
      <c r="C6" t="str">
        <v>Новый распил — Калькулятор, потом строка на Заказы</v>
      </c>
      <c r="D6" t="str">
        <v>нет</v>
      </c>
      <c r="E6" t="str">
        <v/>
      </c>
    </row>
    <row r="7">
      <c r="A7" t="str">
        <v>Закрытие</v>
      </c>
      <c r="B7">
        <v>6</v>
      </c>
      <c r="C7" t="str">
        <v>Инфо: эквайринг АВТО → Д/Р</v>
      </c>
      <c r="D7" t="str">
        <v>нет</v>
      </c>
      <c r="E7" t="str">
        <v/>
      </c>
    </row>
    <row r="8">
      <c r="A8" t="str">
        <v>Закрытие</v>
      </c>
      <c r="B8">
        <v>7</v>
      </c>
      <c r="C8" t="str">
        <v>Инфо: поступление в кассу АВТО → Д/Р</v>
      </c>
      <c r="D8" t="str">
        <v>нет</v>
      </c>
      <c r="E8" t="str">
        <v/>
      </c>
    </row>
    <row r="9">
      <c r="A9" t="str">
        <v>Закрытие</v>
      </c>
      <c r="B9">
        <v>8</v>
      </c>
      <c r="C9" t="str">
        <v>Отдать проверенные чеки бухгалтеру</v>
      </c>
      <c r="D9" t="str">
        <v>нет</v>
      </c>
      <c r="E9" t="str">
        <v/>
      </c>
    </row>
    <row r="10">
      <c r="A10" t="str">
        <v>Закрытие</v>
      </c>
      <c r="B10">
        <v>9</v>
      </c>
      <c r="C10" t="str">
        <v>Сверить остаток в программе и факт на Фурнитуре</v>
      </c>
      <c r="D10" t="str">
        <v>нет</v>
      </c>
      <c r="E10" t="str">
        <v/>
      </c>
    </row>
  </sheetData>
  <ignoredErrors>
    <ignoredError numberStoredAsText="1" sqref="A1:E10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L2"/>
  <sheetViews>
    <sheetView workbookViewId="0"/>
  </sheetViews>
  <cols>
    <col min="1" max="1" width="12.83203125" customWidth="1"/>
    <col min="2" max="2" width="18.83203125" customWidth="1"/>
    <col min="3" max="3" width="12.83203125" customWidth="1"/>
    <col min="4" max="4" width="24.83203125" customWidth="1"/>
    <col min="5" max="5" width="14.83203125" customWidth="1"/>
    <col min="6" max="6" width="22.83203125" customWidth="1"/>
    <col min="7" max="7" width="14.83203125" customWidth="1"/>
    <col min="8" max="8" width="20.83203125" customWidth="1"/>
    <col min="9" max="9" width="12.83203125" customWidth="1"/>
    <col min="10" max="10" width="16.83203125" customWidth="1"/>
    <col min="11" max="11" width="18.83203125" customWidth="1"/>
    <col min="12" max="12" width="22.83203125" customWidth="1"/>
  </cols>
  <sheetData>
    <row r="1">
      <c r="A1" t="str">
        <v>Дата</v>
      </c>
      <c r="B1" t="str">
        <v>Наличка на начало</v>
      </c>
      <c r="C1" t="str">
        <v>Приход нал</v>
      </c>
      <c r="D1" t="str">
        <v>Приход эквайринг (сверка)</v>
      </c>
      <c r="E1" t="str">
        <v>Расход прочее</v>
      </c>
      <c r="F1" t="str">
        <v>Описание расхода</v>
      </c>
      <c r="G1" t="str">
        <v>Наличка факт</v>
      </c>
      <c r="H1" t="str">
        <v>Наличка в программе</v>
      </c>
      <c r="I1" t="str">
        <v>Сходится?</v>
      </c>
      <c r="J1" t="str">
        <v>Чеки бухгалтеру</v>
      </c>
      <c r="K1" t="str">
        <v>Комментарий</v>
      </c>
      <c r="L1" t="str">
        <v>Должно быть в ящике</v>
      </c>
    </row>
    <row r="2">
      <c r="A2" t="str">
        <v>2026-09-09</v>
      </c>
      <c r="B2">
        <v>0</v>
      </c>
      <c r="C2">
        <v>0</v>
      </c>
      <c r="D2">
        <v>0</v>
      </c>
      <c r="E2">
        <v>0</v>
      </c>
      <c r="F2" t="str">
        <v/>
      </c>
      <c r="G2">
        <v>0</v>
      </c>
      <c r="H2">
        <v>0</v>
      </c>
      <c r="I2" t="str">
        <v/>
      </c>
      <c r="J2" t="str">
        <v/>
      </c>
      <c r="K2" t="str">
        <v/>
      </c>
      <c r="L2">
        <f>B2+C2-E2</f>
        <v>0</v>
      </c>
    </row>
  </sheetData>
  <ignoredErrors>
    <ignoredError numberStoredAsText="1" sqref="A1:L2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cols>
    <col min="1" max="1" width="12.83203125" customWidth="1"/>
    <col min="2" max="2" width="32.83203125" customWidth="1"/>
    <col min="3" max="3" width="12.83203125" customWidth="1"/>
    <col min="4" max="4" width="16.83203125" customWidth="1"/>
    <col min="5" max="5" width="16.83203125" customWidth="1"/>
    <col min="6" max="6" width="16.83203125" customWidth="1"/>
    <col min="7" max="7" width="24.83203125" customWidth="1"/>
  </cols>
  <sheetData>
    <row r="1">
      <c r="A1" t="str">
        <v>Дата</v>
      </c>
      <c r="B1" t="str">
        <v>Заказ / что привезли</v>
      </c>
      <c r="C1" t="str">
        <v>Сумма</v>
      </c>
      <c r="D1" t="str">
        <v>Грузчик</v>
      </c>
      <c r="E1" t="str">
        <v>Подпись (да/нет)</v>
      </c>
      <c r="F1" t="str">
        <v>Откуда деньги</v>
      </c>
      <c r="G1" t="str">
        <v>Комментарий</v>
      </c>
    </row>
    <row r="2">
      <c r="A2" t="str">
        <v>2026-09-09</v>
      </c>
      <c r="B2" t="str">
        <v/>
      </c>
      <c r="C2" t="str">
        <v/>
      </c>
      <c r="D2" t="str">
        <v/>
      </c>
      <c r="E2" t="str">
        <v/>
      </c>
      <c r="F2" t="str">
        <v>касса</v>
      </c>
      <c r="G2" t="str">
        <v/>
      </c>
    </row>
  </sheetData>
  <ignoredErrors>
    <ignoredError numberStoredAsText="1" sqref="A1:G2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C8"/>
  <sheetViews>
    <sheetView workbookViewId="0"/>
  </sheetViews>
  <cols>
    <col min="1" max="1" width="14.83203125" customWidth="1"/>
    <col min="2" max="2" width="22.83203125" customWidth="1"/>
    <col min="3" max="3" width="110.83203125" customWidth="1"/>
  </cols>
  <sheetData>
    <row r="1">
      <c r="A1" t="str">
        <v>Раздел</v>
      </c>
      <c r="B1" t="str">
        <v>Заголовок</v>
      </c>
      <c r="C1" t="str">
        <v>Текст</v>
      </c>
    </row>
    <row r="2">
      <c r="A2" t="str">
        <v>О компании</v>
      </c>
      <c r="B2" t="str">
        <v>РЭЛАН</v>
      </c>
      <c r="C2" t="str">
        <v>Мебельный салон в Лысве. Фурнитура + ЛДСП под заказ. Пн–Пт 9–18, Сб 10–15.</v>
      </c>
    </row>
    <row r="3">
      <c r="A3" t="str">
        <v>О компании</v>
      </c>
      <c r="B3" t="str">
        <v>Направления</v>
      </c>
      <c r="C3" t="str">
        <v>Фурнитура Blum/Hettich/GTV/Boyard; ЛДСП Egger/Kronospan; кромка 0.4/2.0; распил по размерам.</v>
      </c>
    </row>
    <row r="4">
      <c r="A4" t="str">
        <v>Шпаргалка</v>
      </c>
      <c r="B4" t="str">
        <v>Вопросы при заказе</v>
      </c>
      <c r="C4" t="str">
        <v>1) Сторона кромки: левая / правая / обе / нет. 2) Цвет ЛДСП. 3) Срок: 7 / 3 / 1 день.</v>
      </c>
    </row>
    <row r="5">
      <c r="A5" t="str">
        <v>Шпаргалка</v>
      </c>
      <c r="B5" t="str">
        <v>Оплата картой</v>
      </c>
      <c r="C5" t="str">
        <v>Инфо → Платёжные документы → Оплата по эквайрингу → Физ-лицо, П1, основание Л/.../26, без НДС → чек → номер заказа на чеке.</v>
      </c>
    </row>
    <row r="6">
      <c r="A6" t="str">
        <v>Шпаргалка</v>
      </c>
      <c r="B6" t="str">
        <v>Оплата наличными</v>
      </c>
      <c r="C6" t="str">
        <v>Инфо → Поступление в кассу → Физ-лицо, основание Л/.../26, без НДС → чек.</v>
      </c>
    </row>
    <row r="7">
      <c r="A7" t="str">
        <v>Шпаргалка</v>
      </c>
      <c r="B7" t="str">
        <v>Счёт</v>
      </c>
      <c r="C7" t="str">
        <v>Инфо → Счёт → + → номер Л/.../26 → наши услуги → ЛДСП код 02107 → печать.</v>
      </c>
    </row>
    <row r="8">
      <c r="A8" t="str">
        <v>Шпаргалка</v>
      </c>
      <c r="B8" t="str">
        <v>Заказ готов</v>
      </c>
      <c r="C8" t="str">
        <v>Проверить готовность → позвонить → статус «Готов к выдаче» на листе Заказы.</v>
      </c>
    </row>
  </sheetData>
  <ignoredErrors>
    <ignoredError numberStoredAsText="1" sqref="A1:C8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B8"/>
  <sheetViews>
    <sheetView workbookViewId="0"/>
  </sheetViews>
  <cols>
    <col min="1" max="1" width="12.83203125" customWidth="1"/>
    <col min="2" max="2" width="14.83203125" customWidth="1"/>
  </cols>
  <sheetData>
    <row r="1">
      <c r="A1" t="str">
        <v>Дата</v>
      </c>
      <c r="B1" t="str">
        <v>Выручка</v>
      </c>
    </row>
    <row r="2">
      <c r="A2">
        <f>TODAY()-6</f>
        <v>0</v>
      </c>
      <c r="B2">
        <f>SUMIF(Продажи!A:A,A2,Продажи!G:G)</f>
        <v>0</v>
      </c>
    </row>
    <row r="3">
      <c r="A3">
        <f>TODAY()-5</f>
        <v>0</v>
      </c>
      <c r="B3">
        <f>SUMIF(Продажи!A:A,A3,Продажи!G:G)</f>
        <v>0</v>
      </c>
    </row>
    <row r="4">
      <c r="A4">
        <f>TODAY()-4</f>
        <v>0</v>
      </c>
      <c r="B4">
        <f>SUMIF(Продажи!A:A,A4,Продажи!G:G)</f>
        <v>0</v>
      </c>
    </row>
    <row r="5">
      <c r="A5">
        <f>TODAY()-3</f>
        <v>0</v>
      </c>
      <c r="B5">
        <f>SUMIF(Продажи!A:A,A5,Продажи!G:G)</f>
        <v>0</v>
      </c>
    </row>
    <row r="6">
      <c r="A6">
        <f>TODAY()-2</f>
        <v>0</v>
      </c>
      <c r="B6">
        <f>SUMIF(Продажи!A:A,A6,Продажи!G:G)</f>
        <v>0</v>
      </c>
    </row>
    <row r="7">
      <c r="A7">
        <f>TODAY()-1</f>
        <v>0</v>
      </c>
      <c r="B7">
        <f>SUMIF(Продажи!A:A,A7,Продажи!G:G)</f>
        <v>0</v>
      </c>
    </row>
    <row r="8">
      <c r="A8">
        <f>TODAY()-0</f>
        <v>0</v>
      </c>
      <c r="B8">
        <f>SUMIF(Продажи!A:A,A8,Продажи!G:G)</f>
        <v>0</v>
      </c>
    </row>
  </sheetData>
  <ignoredErrors>
    <ignoredError numberStoredAsText="1" sqref="A1:B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Старт</vt:lpstr>
      <vt:lpstr>Главная</vt:lpstr>
      <vt:lpstr>Поставщики</vt:lpstr>
      <vt:lpstr>Фурнитура</vt:lpstr>
      <vt:lpstr>Заявки_Рондо</vt:lpstr>
      <vt:lpstr>Заявки_Партнер</vt:lpstr>
      <vt:lpstr>Заявки_Васильево</vt:lpstr>
      <vt:lpstr>Продажи</vt:lpstr>
      <vt:lpstr>Заказы</vt:lpstr>
      <vt:lpstr>Калькулятор</vt:lpstr>
      <vt:lpstr>Задачи</vt:lpstr>
      <vt:lpstr>Касса</vt:lpstr>
      <vt:lpstr>Грузчики</vt:lpstr>
      <vt:lpstr>Шпаргалки</vt:lpstr>
      <vt:lpstr>Аналитика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