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лавная" sheetId="1" r:id="rId1"/>
    <sheet name="Кальк_веб" sheetId="2" r:id="rId2"/>
    <sheet name="Калькулятор" sheetId="3" r:id="rId3"/>
    <sheet name="Материалы_Лки" sheetId="4" r:id="rId4"/>
    <sheet name="Цены_Лки" sheetId="5" r:id="rId5"/>
    <sheet name="Заказы" sheetId="6" r:id="rId6"/>
    <sheet name="Фурнитура" sheetId="7" r:id="rId7"/>
    <sheet name="Продажи" sheetId="8" r:id="rId8"/>
    <sheet name="Касса" sheetId="9" r:id="rId9"/>
    <sheet name="Задачи" sheetId="10" r:id="rId10"/>
    <sheet name="Заявки_Рондо" sheetId="11" r:id="rId11"/>
    <sheet name="Заявки_Партнер" sheetId="12" r:id="rId12"/>
    <sheet name="Заявки_Васильево" sheetId="13" r:id="rId13"/>
    <sheet name="Грузчики" sheetId="14" r:id="rId14"/>
    <sheet name="Шпаргалки" sheetId="15" r:id="rId15"/>
    <sheet name="Поставщики" sheetId="16" r:id="rId16"/>
    <sheet name="Аналитика" sheetId="17" r:id="rId17"/>
    <sheet name="Старт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2.83203125" customWidth="1"/>
    <col min="2" max="2" width="14.83203125" customWidth="1"/>
    <col min="3" max="3" width="24.83203125" customWidth="1"/>
    <col min="4" max="4" width="14.83203125" customWidth="1"/>
    <col min="5" max="5" width="20.83203125" customWidth="1"/>
    <col min="6" max="6" width="14.83203125" customWidth="1"/>
    <col min="7" max="7" width="22.83203125" customWidth="1"/>
    <col min="8" max="8" width="14.83203125" customWidth="1"/>
  </cols>
  <sheetData>
    <row r="1">
      <c r="A1" t="str">
        <v>РЭЛАН — мебельный салон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Управление фурнитурой, заказами и продажами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</row>
    <row r="4">
      <c r="A4" t="str">
        <v>Сегодня выручка, ₽</v>
      </c>
      <c r="B4" t="str">
        <v/>
      </c>
      <c r="C4" t="str">
        <v>Мало / нет товара</v>
      </c>
      <c r="D4" t="str">
        <v/>
      </c>
      <c r="E4" t="str">
        <v>Заказов в работе</v>
      </c>
      <c r="F4" t="str">
        <v/>
      </c>
      <c r="G4" t="str">
        <v>Задач не сделано</v>
      </c>
      <c r="H4" t="str">
        <v/>
      </c>
    </row>
    <row r="5">
      <c r="A5">
        <f>ROUND(SUMIF(Продажи!A:A,TODAY(),Продажи!G:G),0)</f>
        <v>0</v>
      </c>
      <c r="B5" t="str">
        <v/>
      </c>
      <c r="C5">
        <f>COUNTIF(Фурнитура!O:O,"Заканчивается")+COUNTIF(Фурнитура!O:O,"Нет в наличии")</f>
        <v>0</v>
      </c>
      <c r="D5" t="str">
        <v/>
      </c>
      <c r="E5">
        <f>COUNTIF(Заказы!K:K,"Новый")+COUNTIF(Заказы!K:K,"В распиле")</f>
        <v>0</v>
      </c>
      <c r="F5" t="str">
        <v/>
      </c>
      <c r="G5">
        <f>COUNTIF(Задачи!D:D,"нет")</f>
        <v>0</v>
      </c>
      <c r="H5" t="str">
        <v/>
      </c>
    </row>
    <row r="6">
      <c r="A6">
        <f>HYPERLINK("#Кальк_веб!A1","→ Калькулятор как на сайте")</f>
        <v>0</v>
      </c>
      <c r="B6" t="str">
        <v/>
      </c>
      <c r="C6">
        <f>HYPERLINK("#Касса!A1","→ Касса")</f>
        <v>0</v>
      </c>
      <c r="D6" t="str">
        <v/>
      </c>
      <c r="E6">
        <f>HYPERLINK("#Фурнитура!A1","→ Фурнитура")</f>
        <v>0</v>
      </c>
      <c r="F6" t="str">
        <v/>
      </c>
      <c r="G6">
        <f>HYPERLINK("#Задачи!A1","→ Задачи смены")</f>
        <v>0</v>
      </c>
      <c r="H6" t="str">
        <v/>
      </c>
    </row>
    <row r="7">
      <c r="A7" t="str">
        <v/>
      </c>
    </row>
    <row r="8">
      <c r="A8" t="str">
        <v>Выручка за 7 дней, ₽</v>
      </c>
      <c r="B8" t="str">
        <v/>
      </c>
      <c r="C8" t="str">
        <v>Касса: должно быть в ящике</v>
      </c>
      <c r="D8" t="str">
        <v/>
      </c>
      <c r="E8" t="str">
        <v>Чеков сегодня</v>
      </c>
      <c r="F8" t="str">
        <v/>
      </c>
      <c r="G8" t="str">
        <v/>
      </c>
      <c r="H8" t="str">
        <v/>
      </c>
    </row>
    <row r="9">
      <c r="A9">
        <f>ROUND(SUMIFS(Продажи!G:G,Продажи!A:A,"&gt;="&amp;TODAY()-6),0)</f>
        <v>0</v>
      </c>
      <c r="B9" t="str">
        <v/>
      </c>
      <c r="C9">
        <f>Касса!L2</f>
        <v>0</v>
      </c>
      <c r="D9" t="str">
        <v/>
      </c>
      <c r="E9">
        <f>COUNTIF(Продажи!A:A,TODAY())</f>
        <v>0</v>
      </c>
      <c r="F9" t="str">
        <v/>
      </c>
      <c r="G9" t="str">
        <v/>
      </c>
      <c r="H9" t="str">
        <v/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12.83203125" customWidth="1"/>
    <col min="5" max="5" width="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  <col min="11" max="11" width="14.83203125" customWidth="1"/>
    <col min="12" max="12" width="12.83203125" customWidth="1"/>
  </cols>
  <sheetData>
    <row r="1">
      <c r="A1" t="str">
        <v>ИТОГО, ₽</v>
      </c>
      <c r="B1">
        <f>IF(J17="","",J17+L17+N17)</f>
        <v>0</v>
      </c>
      <c r="C1" t="str">
        <v>Листов</v>
      </c>
      <c r="D1">
        <f>H17</f>
        <v>0</v>
      </c>
      <c r="E1" t="str">
        <v>Вкл и кромки: ставь 1 или 0 (не ИСТИНА). В Google потом можно Вставка → Флажок — формулы всё равно сработают.</v>
      </c>
    </row>
    <row r="2">
      <c r="A2" t="str">
        <v>Материал (как в списке Материалы_Лки)</v>
      </c>
      <c r="B2" t="str">
        <v>ЛДСП 16 мм Дуб Сонома</v>
      </c>
      <c r="C2" t="str">
        <v>Цена листа</v>
      </c>
      <c r="D2">
        <f>IFERROR(VLOOKUP(B2,Материалы_Лки!A:E,5,FALSE),0)</f>
        <v>0</v>
      </c>
      <c r="E2" t="str">
        <v>Распил ₽/пог.м</v>
      </c>
      <c r="F2">
        <v>35</v>
      </c>
      <c r="G2" t="str">
        <v>Кромка ₽/пог.м</v>
      </c>
      <c r="H2">
        <v>45</v>
      </c>
    </row>
    <row r="3">
      <c r="A3" t="str">
        <v>Клиент</v>
      </c>
      <c r="B3" t="str">
        <v/>
      </c>
      <c r="C3" t="str">
        <v>Телефон</v>
      </c>
      <c r="D3" t="str">
        <v/>
      </c>
      <c r="E3" t="str">
        <v>КПД раскроя</v>
      </c>
      <c r="F3">
        <v>0.85</v>
      </c>
    </row>
    <row r="5">
      <c r="A5" t="str">
        <v>Вкл 1=да</v>
      </c>
      <c r="B5" t="str">
        <v>Деталь</v>
      </c>
      <c r="C5" t="str">
        <v>Длина мм</v>
      </c>
      <c r="D5" t="str">
        <v>Ширина мм</v>
      </c>
      <c r="E5" t="str">
        <v>Шт</v>
      </c>
      <c r="F5" t="str">
        <v>Кромка длин.1</v>
      </c>
      <c r="G5" t="str">
        <v>Кромка длин.2</v>
      </c>
      <c r="H5" t="str">
        <v>Кромка шир.1</v>
      </c>
      <c r="I5" t="str">
        <v>Кромка шир.2</v>
      </c>
      <c r="J5" t="str">
        <v>м²</v>
      </c>
      <c r="K5" t="str">
        <v>кромка пог.м</v>
      </c>
      <c r="L5" t="str">
        <v>пил пог.м</v>
      </c>
    </row>
    <row r="6">
      <c r="A6">
        <v>1</v>
      </c>
      <c r="B6" t="str">
        <v>Боковина вертикальная</v>
      </c>
      <c r="C6">
        <v>2000</v>
      </c>
      <c r="D6">
        <v>580</v>
      </c>
      <c r="E6">
        <v>2</v>
      </c>
      <c r="F6">
        <v>1</v>
      </c>
      <c r="G6">
        <v>0</v>
      </c>
      <c r="H6">
        <v>1</v>
      </c>
      <c r="I6">
        <v>1</v>
      </c>
      <c r="J6">
        <f>IF(OR(A6=1,A6="да",A6="ДА",A6="ИСТИНА"),ROUND(C6*D6*E6/1000000,3),"")</f>
        <v>0</v>
      </c>
      <c r="K6">
        <f>IF(OR(A6=1,A6="да",A6="ДА",A6="ИСТИНА"),ROUND((IF(OR(F6=1,F6="да",F6="ДА",F6="ИСТИНА"),C6,0)+IF(OR(G6=1,G6="да",G6="ДА",G6="ИСТИНА"),C6,0)+IF(OR(H6=1,H6="да",H6="ДА",H6="ИСТИНА"),D6,0)+IF(OR(I6=1,I6="да",I6="ДА",I6="ИСТИНА"),D6,0))*E6/1000,3),"")</f>
        <v>0</v>
      </c>
      <c r="L6">
        <f>IF(OR(A6=1,A6="да",A6="ДА",A6="ИСТИНА"),ROUND((C6+D6)*2*E6/1000,3),"")</f>
        <v>0</v>
      </c>
    </row>
    <row r="7">
      <c r="A7">
        <v>1</v>
      </c>
      <c r="B7" t="str">
        <v>Дно / Крыша</v>
      </c>
      <c r="C7">
        <v>768</v>
      </c>
      <c r="D7">
        <v>580</v>
      </c>
      <c r="E7">
        <v>2</v>
      </c>
      <c r="F7">
        <v>1</v>
      </c>
      <c r="G7">
        <v>0</v>
      </c>
      <c r="H7">
        <v>0</v>
      </c>
      <c r="I7">
        <v>0</v>
      </c>
      <c r="J7">
        <f>IF(OR(A7=1,A7="да",A7="ДА",A7="ИСТИНА"),ROUND(C7*D7*E7/1000000,3),"")</f>
        <v>0</v>
      </c>
      <c r="K7">
        <f>IF(OR(A7=1,A7="да",A7="ДА",A7="ИСТИНА"),ROUND((IF(OR(F7=1,F7="да",F7="ДА",F7="ИСТИНА"),C7,0)+IF(OR(G7=1,G7="да",G7="ДА",G7="ИСТИНА"),C7,0)+IF(OR(H7=1,H7="да",H7="ДА",H7="ИСТИНА"),D7,0)+IF(OR(I7=1,I7="да",I7="ДА",I7="ИСТИНА"),D7,0))*E7/1000,3),"")</f>
        <v>0</v>
      </c>
      <c r="L7">
        <f>IF(OR(A7=1,A7="да",A7="ДА",A7="ИСТИНА"),ROUND((C7+D7)*2*E7/1000,3),"")</f>
        <v>0</v>
      </c>
    </row>
    <row r="8">
      <c r="A8">
        <v>1</v>
      </c>
      <c r="B8" t="str">
        <v>Полка вкладная</v>
      </c>
      <c r="C8">
        <v>768</v>
      </c>
      <c r="D8">
        <v>550</v>
      </c>
      <c r="E8">
        <v>3</v>
      </c>
      <c r="F8">
        <v>1</v>
      </c>
      <c r="G8">
        <v>0</v>
      </c>
      <c r="H8">
        <v>0</v>
      </c>
      <c r="I8">
        <v>0</v>
      </c>
      <c r="J8">
        <f>IF(OR(A8=1,A8="да",A8="ДА",A8="ИСТИНА"),ROUND(C8*D8*E8/1000000,3),"")</f>
        <v>0</v>
      </c>
      <c r="K8">
        <f>IF(OR(A8=1,A8="да",A8="ДА",A8="ИСТИНА"),ROUND((IF(OR(F8=1,F8="да",F8="ДА",F8="ИСТИНА"),C8,0)+IF(OR(G8=1,G8="да",G8="ДА",G8="ИСТИНА"),C8,0)+IF(OR(H8=1,H8="да",H8="ДА",H8="ИСТИНА"),D8,0)+IF(OR(I8=1,I8="да",I8="ДА",I8="ИСТИНА"),D8,0))*E8/1000,3),"")</f>
        <v>0</v>
      </c>
      <c r="L8">
        <f>IF(OR(A8=1,A8="да",A8="ДА",A8="ИСТИНА"),ROUND((C8+D8)*2*E8/1000,3),"")</f>
        <v>0</v>
      </c>
    </row>
    <row r="9">
      <c r="A9">
        <v>0</v>
      </c>
      <c r="B9" t="str">
        <v>Стойка / перегородка</v>
      </c>
      <c r="C9">
        <v>2000</v>
      </c>
      <c r="D9">
        <v>400</v>
      </c>
      <c r="E9">
        <v>1</v>
      </c>
      <c r="F9">
        <v>1</v>
      </c>
      <c r="G9">
        <v>0</v>
      </c>
      <c r="H9">
        <v>0</v>
      </c>
      <c r="I9">
        <v>0</v>
      </c>
      <c r="J9">
        <f>IF(OR(A9=1,A9="да",A9="ДА",A9="ИСТИНА"),ROUND(C9*D9*E9/1000000,3),"")</f>
        <v>0</v>
      </c>
      <c r="K9">
        <f>IF(OR(A9=1,A9="да",A9="ДА",A9="ИСТИНА"),ROUND((IF(OR(F9=1,F9="да",F9="ДА",F9="ИСТИНА"),C9,0)+IF(OR(G9=1,G9="да",G9="ДА",G9="ИСТИНА"),C9,0)+IF(OR(H9=1,H9="да",H9="ДА",H9="ИСТИНА"),D9,0)+IF(OR(I9=1,I9="да",I9="ДА",I9="ИСТИНА"),D9,0))*E9/1000,3),"")</f>
        <v>0</v>
      </c>
      <c r="L9">
        <f>IF(OR(A9=1,A9="да",A9="ДА",A9="ИСТИНА"),ROUND((C9+D9)*2*E9/1000,3),"")</f>
        <v>0</v>
      </c>
    </row>
    <row r="10">
      <c r="A10">
        <v>0</v>
      </c>
      <c r="B10" t="str">
        <v>Фасад</v>
      </c>
      <c r="C10">
        <v>700</v>
      </c>
      <c r="D10">
        <v>400</v>
      </c>
      <c r="E10">
        <v>2</v>
      </c>
      <c r="F10">
        <v>1</v>
      </c>
      <c r="G10">
        <v>1</v>
      </c>
      <c r="H10">
        <v>1</v>
      </c>
      <c r="I10">
        <v>1</v>
      </c>
      <c r="J10">
        <f>IF(OR(A10=1,A10="да",A10="ДА",A10="ИСТИНА"),ROUND(C10*D10*E10/1000000,3),"")</f>
        <v>0</v>
      </c>
      <c r="K10">
        <f>IF(OR(A10=1,A10="да",A10="ДА",A10="ИСТИНА"),ROUND((IF(OR(F10=1,F10="да",F10="ДА",F10="ИСТИНА"),C10,0)+IF(OR(G10=1,G10="да",G10="ДА",G10="ИСТИНА"),C10,0)+IF(OR(H10=1,H10="да",H10="ДА",H10="ИСТИНА"),D10,0)+IF(OR(I10=1,I10="да",I10="ДА",I10="ИСТИНА"),D10,0))*E10/1000,3),"")</f>
        <v>0</v>
      </c>
      <c r="L10">
        <f>IF(OR(A10=1,A10="да",A10="ДА",A10="ИСТИНА"),ROUND((C10+D10)*2*E10/1000,3),"")</f>
        <v>0</v>
      </c>
    </row>
    <row r="11">
      <c r="A11">
        <v>0</v>
      </c>
      <c r="B11" t="str">
        <v/>
      </c>
      <c r="C11" t="str">
        <v/>
      </c>
      <c r="D11" t="str">
        <v/>
      </c>
      <c r="E11" t="str">
        <v/>
      </c>
      <c r="F11">
        <v>0</v>
      </c>
      <c r="G11">
        <v>0</v>
      </c>
      <c r="H11">
        <v>0</v>
      </c>
      <c r="I11">
        <v>0</v>
      </c>
      <c r="J11">
        <f>IF(OR(A11=1,A11="да",A11="ДА",A11="ИСТИНА"),ROUND(C11*D11*E11/1000000,3),"")</f>
        <v>0</v>
      </c>
      <c r="K11">
        <f>IF(OR(A11=1,A11="да",A11="ДА",A11="ИСТИНА"),ROUND((IF(OR(F11=1,F11="да",F11="ДА",F11="ИСТИНА"),C11,0)+IF(OR(G11=1,G11="да",G11="ДА",G11="ИСТИНА"),C11,0)+IF(OR(H11=1,H11="да",H11="ДА",H11="ИСТИНА"),D11,0)+IF(OR(I11=1,I11="да",I11="ДА",I11="ИСТИНА"),D11,0))*E11/1000,3),"")</f>
        <v>0</v>
      </c>
      <c r="L11">
        <f>IF(OR(A11=1,A11="да",A11="ДА",A11="ИСТИНА"),ROUND((C11+D11)*2*E11/1000,3),"")</f>
        <v>0</v>
      </c>
    </row>
    <row r="12">
      <c r="A12">
        <v>0</v>
      </c>
      <c r="B12" t="str">
        <v/>
      </c>
      <c r="C12" t="str">
        <v/>
      </c>
      <c r="D12" t="str">
        <v/>
      </c>
      <c r="E12" t="str">
        <v/>
      </c>
      <c r="F12">
        <v>0</v>
      </c>
      <c r="G12">
        <v>0</v>
      </c>
      <c r="H12">
        <v>0</v>
      </c>
      <c r="I12">
        <v>0</v>
      </c>
      <c r="J12">
        <f>IF(OR(A12=1,A12="да",A12="ДА",A12="ИСТИНА"),ROUND(C12*D12*E12/1000000,3),"")</f>
        <v>0</v>
      </c>
      <c r="K12">
        <f>IF(OR(A12=1,A12="да",A12="ДА",A12="ИСТИНА"),ROUND((IF(OR(F12=1,F12="да",F12="ДА",F12="ИСТИНА"),C12,0)+IF(OR(G12=1,G12="да",G12="ДА",G12="ИСТИНА"),C12,0)+IF(OR(H12=1,H12="да",H12="ДА",H12="ИСТИНА"),D12,0)+IF(OR(I12=1,I12="да",I12="ДА",I12="ИСТИНА"),D12,0))*E12/1000,3),"")</f>
        <v>0</v>
      </c>
      <c r="L12">
        <f>IF(OR(A12=1,A12="да",A12="ДА",A12="ИСТИНА"),ROUND((C12+D12)*2*E12/1000,3),"")</f>
        <v>0</v>
      </c>
    </row>
    <row r="13">
      <c r="A13">
        <v>0</v>
      </c>
      <c r="B13" t="str">
        <v/>
      </c>
      <c r="C13" t="str">
        <v/>
      </c>
      <c r="D13" t="str">
        <v/>
      </c>
      <c r="E13" t="str">
        <v/>
      </c>
      <c r="F13">
        <v>0</v>
      </c>
      <c r="G13">
        <v>0</v>
      </c>
      <c r="H13">
        <v>0</v>
      </c>
      <c r="I13">
        <v>0</v>
      </c>
      <c r="J13">
        <f>IF(OR(A13=1,A13="да",A13="ДА",A13="ИСТИНА"),ROUND(C13*D13*E13/1000000,3),"")</f>
        <v>0</v>
      </c>
      <c r="K13">
        <f>IF(OR(A13=1,A13="да",A13="ДА",A13="ИСТИНА"),ROUND((IF(OR(F13=1,F13="да",F13="ДА",F13="ИСТИНА"),C13,0)+IF(OR(G13=1,G13="да",G13="ДА",G13="ИСТИНА"),C13,0)+IF(OR(H13=1,H13="да",H13="ДА",H13="ИСТИНА"),D13,0)+IF(OR(I13=1,I13="да",I13="ДА",I13="ИСТИНА"),D13,0))*E13/1000,3),"")</f>
        <v>0</v>
      </c>
      <c r="L13">
        <f>IF(OR(A13=1,A13="да",A13="ДА",A13="ИСТИНА"),ROUND((C13+D13)*2*E13/1000,3),"")</f>
        <v>0</v>
      </c>
    </row>
    <row r="14">
      <c r="A14">
        <v>0</v>
      </c>
      <c r="B14" t="str">
        <v/>
      </c>
      <c r="C14" t="str">
        <v/>
      </c>
      <c r="D14" t="str">
        <v/>
      </c>
      <c r="E14" t="str">
        <v/>
      </c>
      <c r="F14">
        <v>0</v>
      </c>
      <c r="G14">
        <v>0</v>
      </c>
      <c r="H14">
        <v>0</v>
      </c>
      <c r="I14">
        <v>0</v>
      </c>
      <c r="J14">
        <f>IF(OR(A14=1,A14="да",A14="ДА",A14="ИСТИНА"),ROUND(C14*D14*E14/1000000,3),"")</f>
        <v>0</v>
      </c>
      <c r="K14">
        <f>IF(OR(A14=1,A14="да",A14="ДА",A14="ИСТИНА"),ROUND((IF(OR(F14=1,F14="да",F14="ДА",F14="ИСТИНА"),C14,0)+IF(OR(G14=1,G14="да",G14="ДА",G14="ИСТИНА"),C14,0)+IF(OR(H14=1,H14="да",H14="ДА",H14="ИСТИНА"),D14,0)+IF(OR(I14=1,I14="да",I14="ДА",I14="ИСТИНА"),D14,0))*E14/1000,3),"")</f>
        <v>0</v>
      </c>
      <c r="L14">
        <f>IF(OR(A14=1,A14="да",A14="ДА",A14="ИСТИНА"),ROUND((C14+D14)*2*E14/1000,3),"")</f>
        <v>0</v>
      </c>
    </row>
    <row r="15">
      <c r="A15">
        <v>0</v>
      </c>
      <c r="B15" t="str">
        <v/>
      </c>
      <c r="C15" t="str">
        <v/>
      </c>
      <c r="D15" t="str">
        <v/>
      </c>
      <c r="E15" t="str">
        <v/>
      </c>
      <c r="F15">
        <v>0</v>
      </c>
      <c r="G15">
        <v>0</v>
      </c>
      <c r="H15">
        <v>0</v>
      </c>
      <c r="I15">
        <v>0</v>
      </c>
      <c r="J15">
        <f>IF(OR(A15=1,A15="да",A15="ДА",A15="ИСТИНА"),ROUND(C15*D15*E15/1000000,3),"")</f>
        <v>0</v>
      </c>
      <c r="K15">
        <f>IF(OR(A15=1,A15="да",A15="ДА",A15="ИСТИНА"),ROUND((IF(OR(F15=1,F15="да",F15="ДА",F15="ИСТИНА"),C15,0)+IF(OR(G15=1,G15="да",G15="ДА",G15="ИСТИНА"),C15,0)+IF(OR(H15=1,H15="да",H15="ДА",H15="ИСТИНА"),D15,0)+IF(OR(I15=1,I15="да",I15="ДА",I15="ИСТИНА"),D15,0))*E15/1000,3),"")</f>
        <v>0</v>
      </c>
      <c r="L15">
        <f>IF(OR(A15=1,A15="да",A15="ДА",A15="ИСТИНА"),ROUND((C15+D15)*2*E15/1000,3),"")</f>
        <v>0</v>
      </c>
    </row>
    <row r="17">
      <c r="A17" t="str">
        <v>м² деталей</v>
      </c>
      <c r="B17">
        <f>SUM(J6:J15)</f>
        <v>0</v>
      </c>
      <c r="C17" t="str">
        <v>кромка м</v>
      </c>
      <c r="D17">
        <f>SUM(K6:K15)</f>
        <v>0</v>
      </c>
      <c r="E17" t="str">
        <v>пил м</v>
      </c>
      <c r="F17">
        <f>SUM(L6:L15)</f>
        <v>0</v>
      </c>
      <c r="G17" t="str">
        <v>листы</v>
      </c>
      <c r="H17">
        <f>IF(B17=0,"",ROUNDUP(B17/(IFERROR(VLOOKUP(B2,Материалы_Лки!A:C,2,FALSE),2750)*IFERROR(VLOOKUP(B2,Материалы_Лки!A:C,3,FALSE),1830)/1000000*F3),0))</f>
        <v>0</v>
      </c>
      <c r="I17" t="str">
        <v>ЛДСП ₽</v>
      </c>
      <c r="J17">
        <f>ROUND(H17*D2,0)</f>
        <v>0</v>
      </c>
      <c r="K17" t="str">
        <v>кромка ₽</v>
      </c>
      <c r="L17">
        <f>ROUND(D17*H2,0)</f>
        <v>0</v>
      </c>
      <c r="M17" t="str">
        <v>распил ₽</v>
      </c>
      <c r="N17">
        <f>ROUND(F17*F2*0.55,0)</f>
        <v>0</v>
      </c>
    </row>
  </sheetData>
  <ignoredErrors>
    <ignoredError numberStoredAsText="1" sqref="A1:N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5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4.83203125" customWidth="1"/>
    <col min="8" max="8" width="18.83203125" customWidth="1"/>
    <col min="9" max="9" width="12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4.83203125" customWidth="1"/>
    <col min="15" max="15" width="14.83203125" customWidth="1"/>
    <col min="16" max="16" width="12.83203125" customWidth="1"/>
    <col min="17" max="17" width="10.83203125" customWidth="1"/>
    <col min="18" max="18" width="14.83203125" customWidth="1"/>
  </cols>
  <sheetData>
    <row r="1">
      <c r="A1" t="str">
        <v>ИТОГО, ₽</v>
      </c>
      <c r="B1">
        <f>F25</f>
        <v>0</v>
      </c>
      <c r="C1" t="str">
        <v>Листов ЛДСП (оценка)</v>
      </c>
      <c r="D1">
        <f>IF(E20=0,"",ROUNDUP(E20/Цены_Лки!B8,0))</f>
        <v>0</v>
      </c>
      <c r="E1" t="str">
        <v>Заполни только белые ячейки: размеры, кол-во, петли, доставку. Колонки м² / пог.м не трогай.</v>
      </c>
    </row>
    <row r="2">
      <c r="A2" t="str">
        <v>Клиент</v>
      </c>
      <c r="B2" t="str">
        <v/>
      </c>
      <c r="C2" t="str">
        <v>Телефон</v>
      </c>
      <c r="D2" t="str">
        <v/>
      </c>
      <c r="E2" t="str">
        <v>Цвет ЛДСП</v>
      </c>
      <c r="F2" t="str">
        <v/>
      </c>
      <c r="G2" t="str">
        <v>Дата</v>
      </c>
      <c r="H2" t="str">
        <v>2026-09-09</v>
      </c>
    </row>
    <row r="3">
      <c r="A3" t="str">
        <v>ЛДСП — детали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ДВП — детали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КРОМКА — погонные мм</v>
      </c>
    </row>
    <row r="4">
      <c r="A4" t="str">
        <v>№</v>
      </c>
      <c r="B4" t="str">
        <v>Длина мм</v>
      </c>
      <c r="C4" t="str">
        <v>Ширина мм</v>
      </c>
      <c r="D4" t="str">
        <v>Кол-во</v>
      </c>
      <c r="E4" t="str">
        <v>м² (авто)</v>
      </c>
      <c r="F4" t="str">
        <v/>
      </c>
      <c r="G4" t="str">
        <v/>
      </c>
      <c r="H4" t="str">
        <v>№</v>
      </c>
      <c r="I4" t="str">
        <v>Длина мм</v>
      </c>
      <c r="J4" t="str">
        <v>Ширина мм</v>
      </c>
      <c r="K4" t="str">
        <v>Кол-во</v>
      </c>
      <c r="L4" t="str">
        <v>м² (авто)</v>
      </c>
      <c r="M4" t="str">
        <v/>
      </c>
      <c r="N4" t="str">
        <v/>
      </c>
      <c r="O4" t="str">
        <v>№</v>
      </c>
      <c r="P4" t="str">
        <v>Длина мм</v>
      </c>
      <c r="Q4" t="str">
        <v>Кол-во</v>
      </c>
      <c r="R4" t="str">
        <v>пог.м (авто)</v>
      </c>
    </row>
    <row r="5">
      <c r="A5">
        <v>1</v>
      </c>
      <c r="B5" t="str">
        <v/>
      </c>
      <c r="C5" t="str">
        <v/>
      </c>
      <c r="D5" t="str">
        <v/>
      </c>
      <c r="E5">
        <f>IF(OR(B5="",C5="",D5=""),"",ROUND(B5*C5*D5/1000000,3))</f>
        <v>0</v>
      </c>
      <c r="F5" t="str">
        <v/>
      </c>
      <c r="G5" t="str">
        <v/>
      </c>
      <c r="H5">
        <v>1</v>
      </c>
      <c r="I5" t="str">
        <v/>
      </c>
      <c r="J5" t="str">
        <v/>
      </c>
      <c r="K5" t="str">
        <v/>
      </c>
      <c r="L5">
        <f>IF(OR(I5="",J5="",K5=""),"",ROUND(I5*J5*K5/1000000,3))</f>
        <v>0</v>
      </c>
      <c r="M5" t="str">
        <v/>
      </c>
      <c r="N5" t="str">
        <v/>
      </c>
      <c r="O5">
        <v>1</v>
      </c>
      <c r="P5" t="str">
        <v/>
      </c>
      <c r="Q5" t="str">
        <v/>
      </c>
      <c r="R5">
        <f>IF(OR(P5="",Q5=""),"",ROUND(P5*Q5/1000,3))</f>
        <v>0</v>
      </c>
    </row>
    <row r="6">
      <c r="A6">
        <v>2</v>
      </c>
      <c r="B6" t="str">
        <v/>
      </c>
      <c r="C6" t="str">
        <v/>
      </c>
      <c r="D6" t="str">
        <v/>
      </c>
      <c r="E6">
        <f>IF(OR(B6="",C6="",D6=""),"",ROUND(B6*C6*D6/1000000,3))</f>
        <v>0</v>
      </c>
      <c r="F6" t="str">
        <v/>
      </c>
      <c r="G6" t="str">
        <v/>
      </c>
      <c r="H6">
        <v>2</v>
      </c>
      <c r="I6" t="str">
        <v/>
      </c>
      <c r="J6" t="str">
        <v/>
      </c>
      <c r="K6" t="str">
        <v/>
      </c>
      <c r="L6">
        <f>IF(OR(I6="",J6="",K6=""),"",ROUND(I6*J6*K6/1000000,3))</f>
        <v>0</v>
      </c>
      <c r="M6" t="str">
        <v/>
      </c>
      <c r="N6" t="str">
        <v/>
      </c>
      <c r="O6">
        <v>2</v>
      </c>
      <c r="P6" t="str">
        <v/>
      </c>
      <c r="Q6" t="str">
        <v/>
      </c>
      <c r="R6">
        <f>IF(OR(P6="",Q6=""),"",ROUND(P6*Q6/1000,3))</f>
        <v>0</v>
      </c>
    </row>
    <row r="7">
      <c r="A7">
        <v>3</v>
      </c>
      <c r="B7" t="str">
        <v/>
      </c>
      <c r="C7" t="str">
        <v/>
      </c>
      <c r="D7" t="str">
        <v/>
      </c>
      <c r="E7">
        <f>IF(OR(B7="",C7="",D7=""),"",ROUND(B7*C7*D7/1000000,3))</f>
        <v>0</v>
      </c>
      <c r="F7" t="str">
        <v/>
      </c>
      <c r="G7" t="str">
        <v/>
      </c>
      <c r="H7">
        <v>3</v>
      </c>
      <c r="I7" t="str">
        <v/>
      </c>
      <c r="J7" t="str">
        <v/>
      </c>
      <c r="K7" t="str">
        <v/>
      </c>
      <c r="L7">
        <f>IF(OR(I7="",J7="",K7=""),"",ROUND(I7*J7*K7/1000000,3))</f>
        <v>0</v>
      </c>
      <c r="M7" t="str">
        <v/>
      </c>
      <c r="N7" t="str">
        <v/>
      </c>
      <c r="O7">
        <v>3</v>
      </c>
      <c r="P7" t="str">
        <v/>
      </c>
      <c r="Q7" t="str">
        <v/>
      </c>
      <c r="R7">
        <f>IF(OR(P7="",Q7=""),"",ROUND(P7*Q7/1000,3))</f>
        <v>0</v>
      </c>
    </row>
    <row r="8">
      <c r="A8">
        <v>4</v>
      </c>
      <c r="B8" t="str">
        <v/>
      </c>
      <c r="C8" t="str">
        <v/>
      </c>
      <c r="D8" t="str">
        <v/>
      </c>
      <c r="E8">
        <f>IF(OR(B8="",C8="",D8=""),"",ROUND(B8*C8*D8/1000000,3))</f>
        <v>0</v>
      </c>
      <c r="F8" t="str">
        <v/>
      </c>
      <c r="G8" t="str">
        <v/>
      </c>
      <c r="H8">
        <v>4</v>
      </c>
      <c r="I8" t="str">
        <v/>
      </c>
      <c r="J8" t="str">
        <v/>
      </c>
      <c r="K8" t="str">
        <v/>
      </c>
      <c r="L8">
        <f>IF(OR(I8="",J8="",K8=""),"",ROUND(I8*J8*K8/1000000,3))</f>
        <v>0</v>
      </c>
      <c r="M8" t="str">
        <v/>
      </c>
      <c r="N8" t="str">
        <v/>
      </c>
      <c r="O8">
        <v>4</v>
      </c>
      <c r="P8" t="str">
        <v/>
      </c>
      <c r="Q8" t="str">
        <v/>
      </c>
      <c r="R8">
        <f>IF(OR(P8="",Q8=""),"",ROUND(P8*Q8/1000,3))</f>
        <v>0</v>
      </c>
    </row>
    <row r="9">
      <c r="A9">
        <v>5</v>
      </c>
      <c r="B9" t="str">
        <v/>
      </c>
      <c r="C9" t="str">
        <v/>
      </c>
      <c r="D9" t="str">
        <v/>
      </c>
      <c r="E9">
        <f>IF(OR(B9="",C9="",D9=""),"",ROUND(B9*C9*D9/1000000,3))</f>
        <v>0</v>
      </c>
      <c r="F9" t="str">
        <v/>
      </c>
      <c r="G9" t="str">
        <v/>
      </c>
      <c r="H9">
        <v>5</v>
      </c>
      <c r="I9" t="str">
        <v/>
      </c>
      <c r="J9" t="str">
        <v/>
      </c>
      <c r="K9" t="str">
        <v/>
      </c>
      <c r="L9">
        <f>IF(OR(I9="",J9="",K9=""),"",ROUND(I9*J9*K9/1000000,3))</f>
        <v>0</v>
      </c>
      <c r="M9" t="str">
        <v/>
      </c>
      <c r="N9" t="str">
        <v/>
      </c>
      <c r="O9">
        <v>5</v>
      </c>
      <c r="P9" t="str">
        <v/>
      </c>
      <c r="Q9" t="str">
        <v/>
      </c>
      <c r="R9">
        <f>IF(OR(P9="",Q9=""),"",ROUND(P9*Q9/1000,3))</f>
        <v>0</v>
      </c>
    </row>
    <row r="10">
      <c r="A10">
        <v>6</v>
      </c>
      <c r="B10" t="str">
        <v/>
      </c>
      <c r="C10" t="str">
        <v/>
      </c>
      <c r="D10" t="str">
        <v/>
      </c>
      <c r="E10">
        <f>IF(OR(B10="",C10="",D10=""),"",ROUND(B10*C10*D10/1000000,3))</f>
        <v>0</v>
      </c>
      <c r="F10" t="str">
        <v/>
      </c>
      <c r="G10" t="str">
        <v/>
      </c>
      <c r="H10">
        <v>6</v>
      </c>
      <c r="I10" t="str">
        <v/>
      </c>
      <c r="J10" t="str">
        <v/>
      </c>
      <c r="K10" t="str">
        <v/>
      </c>
      <c r="L10">
        <f>IF(OR(I10="",J10="",K10=""),"",ROUND(I10*J10*K10/1000000,3))</f>
        <v>0</v>
      </c>
      <c r="M10" t="str">
        <v/>
      </c>
      <c r="N10" t="str">
        <v/>
      </c>
      <c r="O10">
        <v>6</v>
      </c>
      <c r="P10" t="str">
        <v/>
      </c>
      <c r="Q10" t="str">
        <v/>
      </c>
      <c r="R10">
        <f>IF(OR(P10="",Q10=""),"",ROUND(P10*Q10/1000,3))</f>
        <v>0</v>
      </c>
    </row>
    <row r="11">
      <c r="A11">
        <v>7</v>
      </c>
      <c r="B11" t="str">
        <v/>
      </c>
      <c r="C11" t="str">
        <v/>
      </c>
      <c r="D11" t="str">
        <v/>
      </c>
      <c r="E11">
        <f>IF(OR(B11="",C11="",D11=""),"",ROUND(B11*C11*D11/1000000,3))</f>
        <v>0</v>
      </c>
      <c r="F11" t="str">
        <v/>
      </c>
      <c r="G11" t="str">
        <v/>
      </c>
      <c r="H11">
        <v>7</v>
      </c>
      <c r="I11" t="str">
        <v/>
      </c>
      <c r="J11" t="str">
        <v/>
      </c>
      <c r="K11" t="str">
        <v/>
      </c>
      <c r="L11">
        <f>IF(OR(I11="",J11="",K11=""),"",ROUND(I11*J11*K11/1000000,3))</f>
        <v>0</v>
      </c>
      <c r="M11" t="str">
        <v/>
      </c>
      <c r="N11" t="str">
        <v/>
      </c>
      <c r="O11">
        <v>7</v>
      </c>
      <c r="P11" t="str">
        <v/>
      </c>
      <c r="Q11" t="str">
        <v/>
      </c>
      <c r="R11">
        <f>IF(OR(P11="",Q11=""),"",ROUND(P11*Q11/1000,3))</f>
        <v>0</v>
      </c>
    </row>
    <row r="12">
      <c r="A12">
        <v>8</v>
      </c>
      <c r="B12" t="str">
        <v/>
      </c>
      <c r="C12" t="str">
        <v/>
      </c>
      <c r="D12" t="str">
        <v/>
      </c>
      <c r="E12">
        <f>IF(OR(B12="",C12="",D12=""),"",ROUND(B12*C12*D12/1000000,3))</f>
        <v>0</v>
      </c>
      <c r="F12" t="str">
        <v/>
      </c>
      <c r="G12" t="str">
        <v/>
      </c>
      <c r="H12">
        <v>8</v>
      </c>
      <c r="I12" t="str">
        <v/>
      </c>
      <c r="J12" t="str">
        <v/>
      </c>
      <c r="K12" t="str">
        <v/>
      </c>
      <c r="L12">
        <f>IF(OR(I12="",J12="",K12=""),"",ROUND(I12*J12*K12/1000000,3))</f>
        <v>0</v>
      </c>
      <c r="M12" t="str">
        <v/>
      </c>
      <c r="N12" t="str">
        <v/>
      </c>
      <c r="O12">
        <v>8</v>
      </c>
      <c r="P12" t="str">
        <v/>
      </c>
      <c r="Q12" t="str">
        <v/>
      </c>
      <c r="R12">
        <f>IF(OR(P12="",Q12=""),"",ROUND(P12*Q12/1000,3))</f>
        <v>0</v>
      </c>
    </row>
    <row r="13">
      <c r="A13">
        <v>9</v>
      </c>
      <c r="B13" t="str">
        <v/>
      </c>
      <c r="C13" t="str">
        <v/>
      </c>
      <c r="D13" t="str">
        <v/>
      </c>
      <c r="E13">
        <f>IF(OR(B13="",C13="",D13=""),"",ROUND(B13*C13*D13/1000000,3))</f>
        <v>0</v>
      </c>
      <c r="F13" t="str">
        <v/>
      </c>
      <c r="G13" t="str">
        <v/>
      </c>
      <c r="H13">
        <v>9</v>
      </c>
      <c r="I13" t="str">
        <v/>
      </c>
      <c r="J13" t="str">
        <v/>
      </c>
      <c r="K13" t="str">
        <v/>
      </c>
      <c r="L13">
        <f>IF(OR(I13="",J13="",K13=""),"",ROUND(I13*J13*K13/1000000,3))</f>
        <v>0</v>
      </c>
      <c r="M13" t="str">
        <v/>
      </c>
      <c r="N13" t="str">
        <v/>
      </c>
      <c r="O13">
        <v>9</v>
      </c>
      <c r="P13" t="str">
        <v/>
      </c>
      <c r="Q13" t="str">
        <v/>
      </c>
      <c r="R13">
        <f>IF(OR(P13="",Q13=""),"",ROUND(P13*Q13/1000,3))</f>
        <v>0</v>
      </c>
    </row>
    <row r="14">
      <c r="A14">
        <v>10</v>
      </c>
      <c r="B14" t="str">
        <v/>
      </c>
      <c r="C14" t="str">
        <v/>
      </c>
      <c r="D14" t="str">
        <v/>
      </c>
      <c r="E14">
        <f>IF(OR(B14="",C14="",D14=""),"",ROUND(B14*C14*D14/1000000,3))</f>
        <v>0</v>
      </c>
      <c r="F14" t="str">
        <v/>
      </c>
      <c r="G14" t="str">
        <v/>
      </c>
      <c r="H14">
        <v>10</v>
      </c>
      <c r="I14" t="str">
        <v/>
      </c>
      <c r="J14" t="str">
        <v/>
      </c>
      <c r="K14" t="str">
        <v/>
      </c>
      <c r="L14">
        <f>IF(OR(I14="",J14="",K14=""),"",ROUND(I14*J14*K14/1000000,3))</f>
        <v>0</v>
      </c>
      <c r="M14" t="str">
        <v/>
      </c>
      <c r="N14" t="str">
        <v/>
      </c>
      <c r="O14">
        <v>10</v>
      </c>
      <c r="P14" t="str">
        <v/>
      </c>
      <c r="Q14" t="str">
        <v/>
      </c>
      <c r="R14">
        <f>IF(OR(P14="",Q14=""),"",ROUND(P14*Q14/1000,3))</f>
        <v>0</v>
      </c>
    </row>
    <row r="15">
      <c r="A15">
        <v>11</v>
      </c>
      <c r="B15" t="str">
        <v/>
      </c>
      <c r="C15" t="str">
        <v/>
      </c>
      <c r="D15" t="str">
        <v/>
      </c>
      <c r="E15">
        <f>IF(OR(B15="",C15="",D15=""),"",ROUND(B15*C15*D15/1000000,3))</f>
        <v>0</v>
      </c>
      <c r="F15" t="str">
        <v/>
      </c>
      <c r="G15" t="str">
        <v/>
      </c>
      <c r="H15">
        <v>11</v>
      </c>
      <c r="I15" t="str">
        <v/>
      </c>
      <c r="J15" t="str">
        <v/>
      </c>
      <c r="K15" t="str">
        <v/>
      </c>
      <c r="L15">
        <f>IF(OR(I15="",J15="",K15=""),"",ROUND(I15*J15*K15/1000000,3))</f>
        <v>0</v>
      </c>
      <c r="M15" t="str">
        <v/>
      </c>
      <c r="N15" t="str">
        <v/>
      </c>
      <c r="O15">
        <v>11</v>
      </c>
      <c r="P15" t="str">
        <v/>
      </c>
      <c r="Q15" t="str">
        <v/>
      </c>
      <c r="R15">
        <f>IF(OR(P15="",Q15=""),"",ROUND(P15*Q15/1000,3))</f>
        <v>0</v>
      </c>
    </row>
    <row r="16">
      <c r="A16">
        <v>12</v>
      </c>
      <c r="B16" t="str">
        <v/>
      </c>
      <c r="C16" t="str">
        <v/>
      </c>
      <c r="D16" t="str">
        <v/>
      </c>
      <c r="E16">
        <f>IF(OR(B16="",C16="",D16=""),"",ROUND(B16*C16*D16/1000000,3))</f>
        <v>0</v>
      </c>
      <c r="F16" t="str">
        <v/>
      </c>
      <c r="G16" t="str">
        <v/>
      </c>
      <c r="H16">
        <v>12</v>
      </c>
      <c r="I16" t="str">
        <v/>
      </c>
      <c r="J16" t="str">
        <v/>
      </c>
      <c r="K16" t="str">
        <v/>
      </c>
      <c r="L16">
        <f>IF(OR(I16="",J16="",K16=""),"",ROUND(I16*J16*K16/1000000,3))</f>
        <v>0</v>
      </c>
      <c r="M16" t="str">
        <v/>
      </c>
      <c r="N16" t="str">
        <v/>
      </c>
      <c r="O16">
        <v>12</v>
      </c>
      <c r="P16" t="str">
        <v/>
      </c>
      <c r="Q16" t="str">
        <v/>
      </c>
      <c r="R16">
        <f>IF(OR(P16="",Q16=""),"",ROUND(P16*Q16/1000,3))</f>
        <v>0</v>
      </c>
    </row>
    <row r="17">
      <c r="A17">
        <v>13</v>
      </c>
      <c r="B17" t="str">
        <v/>
      </c>
      <c r="C17" t="str">
        <v/>
      </c>
      <c r="D17" t="str">
        <v/>
      </c>
      <c r="E17">
        <f>IF(OR(B17="",C17="",D17=""),"",ROUND(B17*C17*D17/1000000,3))</f>
        <v>0</v>
      </c>
      <c r="F17" t="str">
        <v/>
      </c>
      <c r="G17" t="str">
        <v/>
      </c>
      <c r="H17">
        <v>13</v>
      </c>
      <c r="I17" t="str">
        <v/>
      </c>
      <c r="J17" t="str">
        <v/>
      </c>
      <c r="K17" t="str">
        <v/>
      </c>
      <c r="L17">
        <f>IF(OR(I17="",J17="",K17=""),"",ROUND(I17*J17*K17/1000000,3))</f>
        <v>0</v>
      </c>
      <c r="M17" t="str">
        <v/>
      </c>
      <c r="N17" t="str">
        <v/>
      </c>
      <c r="O17">
        <v>13</v>
      </c>
      <c r="P17" t="str">
        <v/>
      </c>
      <c r="Q17" t="str">
        <v/>
      </c>
      <c r="R17">
        <f>IF(OR(P17="",Q17=""),"",ROUND(P17*Q17/1000,3))</f>
        <v>0</v>
      </c>
    </row>
    <row r="18">
      <c r="A18">
        <v>14</v>
      </c>
      <c r="B18" t="str">
        <v/>
      </c>
      <c r="C18" t="str">
        <v/>
      </c>
      <c r="D18" t="str">
        <v/>
      </c>
      <c r="E18">
        <f>IF(OR(B18="",C18="",D18=""),"",ROUND(B18*C18*D18/1000000,3))</f>
        <v>0</v>
      </c>
      <c r="F18" t="str">
        <v/>
      </c>
      <c r="G18" t="str">
        <v/>
      </c>
      <c r="H18">
        <v>14</v>
      </c>
      <c r="I18" t="str">
        <v/>
      </c>
      <c r="J18" t="str">
        <v/>
      </c>
      <c r="K18" t="str">
        <v/>
      </c>
      <c r="L18">
        <f>IF(OR(I18="",J18="",K18=""),"",ROUND(I18*J18*K18/1000000,3))</f>
        <v>0</v>
      </c>
      <c r="M18" t="str">
        <v/>
      </c>
      <c r="N18" t="str">
        <v/>
      </c>
      <c r="O18">
        <v>14</v>
      </c>
      <c r="P18" t="str">
        <v/>
      </c>
      <c r="Q18" t="str">
        <v/>
      </c>
      <c r="R18">
        <f>IF(OR(P18="",Q18=""),"",ROUND(P18*Q18/1000,3))</f>
        <v>0</v>
      </c>
    </row>
    <row r="19">
      <c r="A19">
        <v>15</v>
      </c>
      <c r="B19" t="str">
        <v/>
      </c>
      <c r="C19" t="str">
        <v/>
      </c>
      <c r="D19" t="str">
        <v/>
      </c>
      <c r="E19">
        <f>IF(OR(B19="",C19="",D19=""),"",ROUND(B19*C19*D19/1000000,3))</f>
        <v>0</v>
      </c>
      <c r="F19" t="str">
        <v/>
      </c>
      <c r="G19" t="str">
        <v/>
      </c>
      <c r="H19">
        <v>15</v>
      </c>
      <c r="I19" t="str">
        <v/>
      </c>
      <c r="J19" t="str">
        <v/>
      </c>
      <c r="K19" t="str">
        <v/>
      </c>
      <c r="L19">
        <f>IF(OR(I19="",J19="",K19=""),"",ROUND(I19*J19*K19/1000000,3))</f>
        <v>0</v>
      </c>
      <c r="M19" t="str">
        <v/>
      </c>
      <c r="N19" t="str">
        <v/>
      </c>
      <c r="O19">
        <v>15</v>
      </c>
      <c r="P19" t="str">
        <v/>
      </c>
      <c r="Q19" t="str">
        <v/>
      </c>
      <c r="R19">
        <f>IF(OR(P19="",Q19=""),"",ROUND(P19*Q19/1000,3))</f>
        <v>0</v>
      </c>
    </row>
    <row r="20">
      <c r="A20" t="str">
        <v>м² итого</v>
      </c>
      <c r="B20" t="str">
        <v/>
      </c>
      <c r="C20" t="str">
        <v/>
      </c>
      <c r="D20" t="str">
        <v/>
      </c>
      <c r="E20">
        <f>SUM(E5:E19)</f>
        <v>0</v>
      </c>
      <c r="F20">
        <f>Цены_Лки!B2</f>
        <v>0</v>
      </c>
      <c r="G20" t="str">
        <v/>
      </c>
      <c r="H20" t="str">
        <v>м² итого</v>
      </c>
      <c r="I20" t="str">
        <v/>
      </c>
      <c r="J20" t="str">
        <v/>
      </c>
      <c r="K20" t="str">
        <v/>
      </c>
      <c r="L20">
        <f>SUM(L5:L19)</f>
        <v>0</v>
      </c>
      <c r="M20">
        <f>Цены_Лки!B3</f>
        <v>0</v>
      </c>
      <c r="N20" t="str">
        <v/>
      </c>
      <c r="O20" t="str">
        <v>пог.м итого</v>
      </c>
      <c r="P20" t="str">
        <v/>
      </c>
      <c r="Q20" t="str">
        <v/>
      </c>
      <c r="R20">
        <f>SUM(R5:R19)</f>
        <v>0</v>
      </c>
      <c r="S20">
        <f>Цены_Лки!B4</f>
        <v>0</v>
      </c>
    </row>
    <row r="21">
      <c r="A21" t="str">
        <v>сумма ЛДСП</v>
      </c>
      <c r="B21" t="str">
        <v/>
      </c>
      <c r="C21" t="str">
        <v/>
      </c>
      <c r="D21" t="str">
        <v/>
      </c>
      <c r="E21" t="str">
        <v/>
      </c>
      <c r="F21">
        <f>ROUND(E20*F20,0)</f>
        <v>0</v>
      </c>
      <c r="G21" t="str">
        <v/>
      </c>
      <c r="H21" t="str">
        <v>сумма ДВП (+10%)</v>
      </c>
      <c r="I21" t="str">
        <v/>
      </c>
      <c r="J21" t="str">
        <v/>
      </c>
      <c r="K21" t="str">
        <v/>
      </c>
      <c r="L21" t="str">
        <v/>
      </c>
      <c r="M21">
        <f>ROUND(L20*Цены_Лки!B5*M20,0)</f>
        <v>0</v>
      </c>
      <c r="N21" t="str">
        <v/>
      </c>
      <c r="O21" t="str">
        <v>сумма кромки</v>
      </c>
      <c r="P21" t="str">
        <v/>
      </c>
      <c r="Q21" t="str">
        <v/>
      </c>
      <c r="R21">
        <v>0</v>
      </c>
      <c r="S21">
        <f>ROUND(R20*S20,0)</f>
        <v>0</v>
      </c>
    </row>
    <row r="23">
      <c r="A23" t="str">
        <v>Отверстия под петли, шт</v>
      </c>
      <c r="B23">
        <v>0</v>
      </c>
      <c r="C23" t="str">
        <v>× цена</v>
      </c>
      <c r="D23">
        <f>Цены_Лки!B6</f>
        <v>0</v>
      </c>
      <c r="E23" t="str">
        <v>=</v>
      </c>
      <c r="F23">
        <f>ROUND(B23*D23,0)</f>
        <v>0</v>
      </c>
    </row>
    <row r="24">
      <c r="A24" t="str">
        <v>Доставка</v>
      </c>
      <c r="B24">
        <f>Цены_Лки!B7</f>
        <v>0</v>
      </c>
      <c r="C24" t="str">
        <v/>
      </c>
      <c r="D24" t="str">
        <v/>
      </c>
      <c r="E24" t="str">
        <v>=</v>
      </c>
      <c r="F24">
        <f>B24</f>
        <v>0</v>
      </c>
    </row>
    <row r="25">
      <c r="A25" t="str">
        <v>Проверка суммы (должна = ИТОГО сверху)</v>
      </c>
      <c r="B25" t="str">
        <v/>
      </c>
      <c r="C25" t="str">
        <v/>
      </c>
      <c r="D25" t="str">
        <v/>
      </c>
      <c r="E25" t="str">
        <v>=</v>
      </c>
      <c r="F25">
        <f>F21+M21+S21+F23+F24</f>
        <v>0</v>
      </c>
    </row>
  </sheetData>
  <ignoredErrors>
    <ignoredError numberStoredAsText="1" sqref="A1:S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0.83203125" customWidth="1"/>
    <col min="5" max="5" width="12.83203125" customWidth="1"/>
    <col min="6" max="6" width="22.83203125" customWidth="1"/>
  </cols>
  <sheetData>
    <row r="1">
      <c r="A1" t="str">
        <v>Название</v>
      </c>
      <c r="B1" t="str">
        <v>Длина листа мм</v>
      </c>
      <c r="C1" t="str">
        <v>Ширина листа мм</v>
      </c>
      <c r="D1" t="str">
        <v>Толщина</v>
      </c>
      <c r="E1" t="str">
        <v>Цена листа</v>
      </c>
      <c r="F1" t="str">
        <v>Поставщик</v>
      </c>
    </row>
    <row r="2">
      <c r="A2" t="str">
        <v>ЛДСП 16 мм Дуб Сонома</v>
      </c>
      <c r="B2">
        <v>2750</v>
      </c>
      <c r="C2">
        <v>1830</v>
      </c>
      <c r="D2">
        <v>16</v>
      </c>
      <c r="E2">
        <v>2450</v>
      </c>
      <c r="F2" t="str">
        <v>Партнер</v>
      </c>
    </row>
    <row r="3">
      <c r="A3" t="str">
        <v>ЛДСП 16 мм Белый</v>
      </c>
      <c r="B3">
        <v>2750</v>
      </c>
      <c r="C3">
        <v>1830</v>
      </c>
      <c r="D3">
        <v>16</v>
      </c>
      <c r="E3">
        <v>2200</v>
      </c>
      <c r="F3" t="str">
        <v>Партнер</v>
      </c>
    </row>
    <row r="4">
      <c r="A4" t="str">
        <v>ЛДСП 16 мм Серый Графит</v>
      </c>
      <c r="B4">
        <v>2800</v>
      </c>
      <c r="C4">
        <v>2070</v>
      </c>
      <c r="D4">
        <v>16</v>
      </c>
      <c r="E4">
        <v>2950</v>
      </c>
      <c r="F4" t="str">
        <v>Рондо / Ладья</v>
      </c>
    </row>
    <row r="5">
      <c r="A5" t="str">
        <v>ЛДСП 16 мм Дуб Вотан</v>
      </c>
      <c r="B5">
        <v>2750</v>
      </c>
      <c r="C5">
        <v>1830</v>
      </c>
      <c r="D5">
        <v>16</v>
      </c>
      <c r="E5">
        <v>2600</v>
      </c>
      <c r="F5" t="str">
        <v>Рондо / Ладья</v>
      </c>
    </row>
    <row r="6">
      <c r="A6" t="str">
        <v>ЛДСП 16 мм Венге</v>
      </c>
      <c r="B6">
        <v>2750</v>
      </c>
      <c r="C6">
        <v>1830</v>
      </c>
      <c r="D6">
        <v>16</v>
      </c>
      <c r="E6">
        <v>2400</v>
      </c>
      <c r="F6" t="str">
        <v>Васильево / Ортус</v>
      </c>
    </row>
    <row r="7">
      <c r="A7" t="str">
        <v>ДВП 3.2 мм</v>
      </c>
      <c r="B7">
        <v>2750</v>
      </c>
      <c r="C7">
        <v>1700</v>
      </c>
      <c r="D7">
        <v>3.2</v>
      </c>
      <c r="E7">
        <v>950</v>
      </c>
      <c r="F7" t="str">
        <v>Васильево / Ортус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8.83203125" customWidth="1"/>
    <col min="2" max="2" width="14.83203125" customWidth="1"/>
    <col min="3" max="3" width="40.83203125" customWidth="1"/>
  </cols>
  <sheetData>
    <row r="1">
      <c r="A1" t="str">
        <v>Параметр</v>
      </c>
      <c r="B1" t="str">
        <v>Значение</v>
      </c>
      <c r="C1" t="str">
        <v>Комментарий</v>
      </c>
    </row>
    <row r="2">
      <c r="A2" t="str">
        <v>ЛДСП, ₽ за м²</v>
      </c>
      <c r="B2">
        <v>1400</v>
      </c>
      <c r="C2" t="str">
        <v>как в 19_08_Raschet_L-ka</v>
      </c>
    </row>
    <row r="3">
      <c r="A3" t="str">
        <v>ДВП, ₽ за м²</v>
      </c>
      <c r="B3">
        <v>400</v>
      </c>
      <c r="C3" t="str">
        <v/>
      </c>
    </row>
    <row r="4">
      <c r="A4" t="str">
        <v>Кромка, ₽ за пог.м</v>
      </c>
      <c r="B4">
        <v>250</v>
      </c>
      <c r="C4" t="str">
        <v/>
      </c>
    </row>
    <row r="5">
      <c r="A5" t="str">
        <v>Запас ДВП</v>
      </c>
      <c r="B5">
        <v>1.1</v>
      </c>
      <c r="C5" t="str">
        <v>+10%, как в твоей таблице</v>
      </c>
    </row>
    <row r="6">
      <c r="A6" t="str">
        <v>Отверстие под петлю, ₽</v>
      </c>
      <c r="B6">
        <v>50</v>
      </c>
      <c r="C6" t="str">
        <v/>
      </c>
    </row>
    <row r="7">
      <c r="A7" t="str">
        <v>Доставка, ₽</v>
      </c>
      <c r="B7">
        <v>200</v>
      </c>
      <c r="C7" t="str">
        <v>0 если клиент забирает сам</v>
      </c>
    </row>
    <row r="8">
      <c r="A8" t="str">
        <v>Лист ЛДСП, м²</v>
      </c>
      <c r="B8">
        <v>5.796</v>
      </c>
      <c r="C8" t="str">
        <v>2800×2070 мм. Для оценки «сколько листов»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0.83203125" customWidth="1"/>
    <col min="9" max="9" width="12.83203125" customWidth="1"/>
    <col min="10" max="10" width="12.83203125" customWidth="1"/>
    <col min="11" max="11" width="16.83203125" customWidth="1"/>
    <col min="12" max="12" width="12.83203125" customWidth="1"/>
    <col min="13" max="13" width="24.83203125" customWidth="1"/>
  </cols>
  <sheetData>
    <row r="1">
      <c r="A1" t="str">
        <v>№ заказа</v>
      </c>
      <c r="B1" t="str">
        <v>Дата</v>
      </c>
      <c r="C1" t="str">
        <v>Клиент</v>
      </c>
      <c r="D1" t="str">
        <v>Телефон</v>
      </c>
      <c r="E1" t="str">
        <v>Размер</v>
      </c>
      <c r="F1" t="str">
        <v>Материал</v>
      </c>
      <c r="G1" t="str">
        <v>Кромка</v>
      </c>
      <c r="H1" t="str">
        <v>Цена</v>
      </c>
      <c r="I1" t="str">
        <v>Предоплата</v>
      </c>
      <c r="J1" t="str">
        <v>К доплате</v>
      </c>
      <c r="K1" t="str">
        <v>Статус</v>
      </c>
      <c r="L1" t="str">
        <v>Срок</v>
      </c>
      <c r="M1" t="str">
        <v>Примечание</v>
      </c>
    </row>
    <row r="2">
      <c r="A2">
        <f>"Л/"&amp;TEXT(ROW()-1,"000")&amp;"/26"</f>
        <v>0</v>
      </c>
      <c r="B2" t="str">
        <v>2026-09-09</v>
      </c>
      <c r="C2" t="str">
        <v/>
      </c>
      <c r="D2" t="str">
        <v/>
      </c>
      <c r="E2" t="str">
        <v/>
      </c>
      <c r="F2" t="str">
        <v>Дуб Сонома</v>
      </c>
      <c r="G2" t="str">
        <v>Обе стороны</v>
      </c>
      <c r="H2" t="str">
        <v/>
      </c>
      <c r="I2" t="str">
        <v/>
      </c>
      <c r="J2">
        <f>IF(H2="","",H2-I2)</f>
        <v>0</v>
      </c>
      <c r="K2" t="str">
        <v>Новый</v>
      </c>
      <c r="L2">
        <f>IF(B2="","",B2+7)</f>
        <v>0</v>
      </c>
      <c r="M2" t="str">
        <v/>
      </c>
    </row>
    <row r="3">
      <c r="A3">
        <f>"Л/"&amp;TEXT(ROW()-1,"000")&amp;"/26"</f>
        <v>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f>IF(H3="","",H3-I3)</f>
        <v>0</v>
      </c>
      <c r="K3" t="str">
        <v/>
      </c>
      <c r="L3">
        <f>IF(B3="","",B3+7)</f>
        <v>0</v>
      </c>
      <c r="M3" t="str">
        <v/>
      </c>
    </row>
    <row r="4">
      <c r="A4">
        <f>"Л/"&amp;TEXT(ROW()-1,"000")&amp;"/26"</f>
        <v>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f>IF(H4="","",H4-I4)</f>
        <v>0</v>
      </c>
      <c r="K4" t="str">
        <v/>
      </c>
      <c r="L4">
        <f>IF(B4="","",B4+7)</f>
        <v>0</v>
      </c>
      <c r="M4" t="str">
        <v/>
      </c>
    </row>
    <row r="5">
      <c r="A5">
        <f>"Л/"&amp;TEXT(ROW()-1,"000")&amp;"/26"</f>
        <v>0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f>IF(H5="","",H5-I5)</f>
        <v>0</v>
      </c>
      <c r="K5" t="str">
        <v/>
      </c>
      <c r="L5">
        <f>IF(B5="","",B5+7)</f>
        <v>0</v>
      </c>
      <c r="M5" t="str">
        <v/>
      </c>
    </row>
    <row r="6">
      <c r="A6">
        <f>"Л/"&amp;TEXT(ROW()-1,"000")&amp;"/26"</f>
        <v>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f>IF(H6="","",H6-I6)</f>
        <v>0</v>
      </c>
      <c r="K6" t="str">
        <v/>
      </c>
      <c r="L6">
        <f>IF(B6="","",B6+7)</f>
        <v>0</v>
      </c>
      <c r="M6" t="str">
        <v/>
      </c>
    </row>
    <row r="7">
      <c r="A7">
        <f>"Л/"&amp;TEXT(ROW()-1,"000")&amp;"/26"</f>
        <v>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f>IF(H7="","",H7-I7)</f>
        <v>0</v>
      </c>
      <c r="K7" t="str">
        <v/>
      </c>
      <c r="L7">
        <f>IF(B7="","",B7+7)</f>
        <v>0</v>
      </c>
      <c r="M7" t="str">
        <v/>
      </c>
    </row>
    <row r="8">
      <c r="A8">
        <f>"Л/"&amp;TEXT(ROW()-1,"000")&amp;"/26"</f>
        <v>0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f>IF(H8="","",H8-I8)</f>
        <v>0</v>
      </c>
      <c r="K8" t="str">
        <v/>
      </c>
      <c r="L8">
        <f>IF(B8="","",B8+7)</f>
        <v>0</v>
      </c>
      <c r="M8" t="str">
        <v/>
      </c>
    </row>
    <row r="9">
      <c r="A9">
        <f>"Л/"&amp;TEXT(ROW()-1,"000")&amp;"/26"</f>
        <v>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f>IF(H9="","",H9-I9)</f>
        <v>0</v>
      </c>
      <c r="K9" t="str">
        <v/>
      </c>
      <c r="L9">
        <f>IF(B9="","",B9+7)</f>
        <v>0</v>
      </c>
      <c r="M9" t="str">
        <v/>
      </c>
    </row>
    <row r="10">
      <c r="A10">
        <f>"Л/"&amp;TEXT(ROW()-1,"000")&amp;"/26"</f>
        <v>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f>IF(H10="","",H10-I10)</f>
        <v>0</v>
      </c>
      <c r="K10" t="str">
        <v/>
      </c>
      <c r="L10">
        <f>IF(B10="","",B10+7)</f>
        <v>0</v>
      </c>
      <c r="M10" t="str">
        <v/>
      </c>
    </row>
    <row r="11">
      <c r="A11">
        <f>"Л/"&amp;TEXT(ROW()-1,"000")&amp;"/26"</f>
        <v>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f>IF(H11="","",H11-I11)</f>
        <v>0</v>
      </c>
      <c r="K11" t="str">
        <v/>
      </c>
      <c r="L11">
        <f>IF(B11="","",B11+7)</f>
        <v>0</v>
      </c>
      <c r="M11" t="str">
        <v/>
      </c>
    </row>
  </sheetData>
  <ignoredErrors>
    <ignoredError numberStoredAsText="1" sqref="A1:M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12.83203125" customWidth="1"/>
    <col min="2" max="2" width="42.83203125" customWidth="1"/>
    <col min="3" max="3" width="18.83203125" customWidth="1"/>
    <col min="4" max="4" width="14.83203125" customWidth="1"/>
    <col min="5" max="5" width="8.83203125" customWidth="1"/>
    <col min="6" max="6" width="20.83203125" customWidth="1"/>
    <col min="7" max="7" width="18.83203125" customWidth="1"/>
    <col min="8" max="8" width="16.83203125" customWidth="1"/>
    <col min="9" max="9" width="14.83203125" customWidth="1"/>
    <col min="10" max="10" width="10.83203125" customWidth="1"/>
    <col min="11" max="11" width="12.83203125" customWidth="1"/>
    <col min="12" max="12" width="8.83203125" customWidth="1"/>
    <col min="13" max="13" width="16.83203125" customWidth="1"/>
    <col min="14" max="14" width="16.83203125" customWidth="1"/>
    <col min="15" max="15" width="18.83203125" customWidth="1"/>
    <col min="16" max="16" width="16.83203125" customWidth="1"/>
  </cols>
  <sheetData>
    <row r="1">
      <c r="A1" t="str">
        <v>Код (Инфо)</v>
      </c>
      <c r="B1" t="str">
        <v>Название</v>
      </c>
      <c r="C1" t="str">
        <v>Поставщик</v>
      </c>
      <c r="D1" t="str">
        <v>Остаток факт</v>
      </c>
      <c r="E1" t="str">
        <v>Мин</v>
      </c>
      <c r="F1" t="str">
        <v>Остаток в программе</v>
      </c>
      <c r="G1" t="str">
        <v>Последний привоз</v>
      </c>
      <c r="H1" t="str">
        <v>Заказать сейчас</v>
      </c>
      <c r="I1" t="str">
        <v>Категория</v>
      </c>
      <c r="J1" t="str">
        <v>Закуп</v>
      </c>
      <c r="K1" t="str">
        <v>Продажа</v>
      </c>
      <c r="L1" t="str">
        <v>Ед</v>
      </c>
      <c r="M1" t="str">
        <v>Штрихкод</v>
      </c>
      <c r="N1" t="str">
        <v>Полка</v>
      </c>
      <c r="O1" t="str">
        <v>Статус</v>
      </c>
      <c r="P1" t="str">
        <v>Недобор до мин</v>
      </c>
    </row>
    <row r="2">
      <c r="A2" t="str">
        <v>ИП-1042</v>
      </c>
      <c r="B2" t="str">
        <v>Петля накладная 110° CLIP-ON (пример)</v>
      </c>
      <c r="C2" t="str">
        <v>Партнер</v>
      </c>
      <c r="D2">
        <v>84</v>
      </c>
      <c r="E2">
        <v>50</v>
      </c>
      <c r="F2">
        <v>84</v>
      </c>
      <c r="G2">
        <v>50</v>
      </c>
      <c r="H2">
        <v>0</v>
      </c>
      <c r="I2" t="str">
        <v>петли</v>
      </c>
      <c r="J2">
        <v>68</v>
      </c>
      <c r="K2">
        <v>140</v>
      </c>
      <c r="L2" t="str">
        <v>шт</v>
      </c>
      <c r="M2" t="str">
        <v/>
      </c>
      <c r="N2" t="str">
        <v>Стеллаж П-1</v>
      </c>
      <c r="O2">
        <f>IF(A2="","",IF(D2=0,"Нет в наличии",IF(D2&lt;E2,"Заканчивается","В наличии")))</f>
        <v>0</v>
      </c>
      <c r="P2">
        <f>IF(A2="","",MAX(0,E2-D2))</f>
        <v>0</v>
      </c>
    </row>
    <row r="3">
      <c r="A3" t="str">
        <v>ИП-1043</v>
      </c>
      <c r="B3" t="str">
        <v>Петля полунакладная 110° (пример)</v>
      </c>
      <c r="C3" t="str">
        <v>Партнер</v>
      </c>
      <c r="D3">
        <v>12</v>
      </c>
      <c r="E3">
        <v>25</v>
      </c>
      <c r="F3">
        <v>12</v>
      </c>
      <c r="G3">
        <v>40</v>
      </c>
      <c r="H3">
        <v>13</v>
      </c>
      <c r="I3" t="str">
        <v>петли</v>
      </c>
      <c r="J3">
        <v>72</v>
      </c>
      <c r="K3">
        <v>150</v>
      </c>
      <c r="L3" t="str">
        <v>шт</v>
      </c>
      <c r="M3" t="str">
        <v/>
      </c>
      <c r="N3" t="str">
        <v>Стеллаж П-1</v>
      </c>
      <c r="O3">
        <f>IF(A3="","",IF(D3=0,"Нет в наличии",IF(D3&lt;E3,"Заканчивается","В наличии")))</f>
        <v>0</v>
      </c>
      <c r="P3">
        <f>IF(A3="","",MAX(0,E3-D3))</f>
        <v>0</v>
      </c>
    </row>
    <row r="4">
      <c r="A4" t="str">
        <v>ИП-1048</v>
      </c>
      <c r="B4" t="str">
        <v>Петля угловая 45° (пример)</v>
      </c>
      <c r="C4" t="str">
        <v>Рондо / Ладья</v>
      </c>
      <c r="D4">
        <v>6</v>
      </c>
      <c r="E4">
        <v>15</v>
      </c>
      <c r="F4">
        <v>6</v>
      </c>
      <c r="G4">
        <v>20</v>
      </c>
      <c r="H4">
        <v>9</v>
      </c>
      <c r="I4" t="str">
        <v>петли</v>
      </c>
      <c r="J4">
        <v>115</v>
      </c>
      <c r="K4">
        <v>240</v>
      </c>
      <c r="L4" t="str">
        <v>шт</v>
      </c>
      <c r="M4" t="str">
        <v/>
      </c>
      <c r="N4" t="str">
        <v>Стеллаж П-2</v>
      </c>
      <c r="O4">
        <f>IF(A4="","",IF(D4=0,"Нет в наличии",IF(D4&lt;E4,"Заканчивается","В наличии")))</f>
        <v>0</v>
      </c>
      <c r="P4">
        <f>IF(A4="","",MAX(0,E4-D4))</f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f>IF(A5="","",IF(D5=0,"Нет в наличии",IF(D5&lt;E5,"Заканчивается","В наличии")))</f>
        <v>0</v>
      </c>
      <c r="P5">
        <f>IF(A5="","",MAX(0,E5-D5))</f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f>IF(A6="","",IF(D6=0,"Нет в наличии",IF(D6&lt;E6,"Заканчивается","В наличии")))</f>
        <v>0</v>
      </c>
      <c r="P6">
        <f>IF(A6="","",MAX(0,E6-D6))</f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f>IF(A7="","",IF(D7=0,"Нет в наличии",IF(D7&lt;E7,"Заканчивается","В наличии")))</f>
        <v>0</v>
      </c>
      <c r="P7">
        <f>IF(A7="","",MAX(0,E7-D7))</f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f>IF(A8="","",IF(D8=0,"Нет в наличии",IF(D8&lt;E8,"Заканчивается","В наличии")))</f>
        <v>0</v>
      </c>
      <c r="P8">
        <f>IF(A8="","",MAX(0,E8-D8))</f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f>IF(A9="","",IF(D9=0,"Нет в наличии",IF(D9&lt;E9,"Заканчивается","В наличии")))</f>
        <v>0</v>
      </c>
      <c r="P9">
        <f>IF(A9="","",MAX(0,E9-D9))</f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f>IF(A10="","",IF(D10=0,"Нет в наличии",IF(D10&lt;E10,"Заканчивается","В наличии")))</f>
        <v>0</v>
      </c>
      <c r="P10">
        <f>IF(A10="","",MAX(0,E10-D10))</f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f>IF(A11="","",IF(D11=0,"Нет в наличии",IF(D11&lt;E11,"Заканчивается","В наличии")))</f>
        <v>0</v>
      </c>
      <c r="P11">
        <f>IF(A11="","",MAX(0,E11-D11))</f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f>IF(A12="","",IF(D12=0,"Нет в наличии",IF(D12&lt;E12,"Заканчивается","В наличии")))</f>
        <v>0</v>
      </c>
      <c r="P12">
        <f>IF(A12="","",MAX(0,E12-D12))</f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f>IF(A13="","",IF(D13=0,"Нет в наличии",IF(D13&lt;E13,"Заканчивается","В наличии")))</f>
        <v>0</v>
      </c>
      <c r="P13">
        <f>IF(A13="","",MAX(0,E13-D13))</f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f>IF(A14="","",IF(D14=0,"Нет в наличии",IF(D14&lt;E14,"Заканчивается","В наличии")))</f>
        <v>0</v>
      </c>
      <c r="P14">
        <f>IF(A14="","",MAX(0,E14-D14))</f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f>IF(A15="","",IF(D15=0,"Нет в наличии",IF(D15&lt;E15,"Заканчивается","В наличии")))</f>
        <v>0</v>
      </c>
      <c r="P15">
        <f>IF(A15="","",MAX(0,E15-D15))</f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</sheetData>
  <ignoredErrors>
    <ignoredError numberStoredAsText="1" sqref="A1:P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2.83203125" customWidth="1"/>
    <col min="2" max="2" width="10.83203125" customWidth="1"/>
    <col min="3" max="3" width="14.83203125" customWidth="1"/>
    <col min="4" max="4" width="36.83203125" customWidth="1"/>
    <col min="5" max="5" width="10.83203125" customWidth="1"/>
    <col min="6" max="6" width="10.83203125" customWidth="1"/>
    <col min="7" max="7" width="14.83203125" customWidth="1"/>
    <col min="8" max="8" width="16.83203125" customWidth="1"/>
    <col min="9" max="9" width="24.83203125" customWidth="1"/>
  </cols>
  <sheetData>
    <row r="1">
      <c r="A1" t="str">
        <v>Дата</v>
      </c>
      <c r="B1" t="str">
        <v>Время</v>
      </c>
      <c r="C1" t="str">
        <v>Код (Инфо)</v>
      </c>
      <c r="D1" t="str">
        <v>Название</v>
      </c>
      <c r="E1" t="str">
        <v>Кол-во</v>
      </c>
      <c r="F1" t="str">
        <v>Цена</v>
      </c>
      <c r="G1" t="str">
        <v>Сумма (авто)</v>
      </c>
      <c r="H1" t="str">
        <v>Оплата</v>
      </c>
      <c r="I1" t="str">
        <v>Комментарий</v>
      </c>
    </row>
    <row r="2">
      <c r="A2" t="str">
        <v>2026-09-09</v>
      </c>
      <c r="B2" t="str">
        <v/>
      </c>
      <c r="C2" t="str">
        <v/>
      </c>
      <c r="D2" t="str">
        <v/>
      </c>
      <c r="E2" t="str">
        <v/>
      </c>
      <c r="F2" t="str">
        <v/>
      </c>
      <c r="G2">
        <f>IF(OR(E2="",F2=""),"",ROUND(E2*F2,0))</f>
        <v>0</v>
      </c>
      <c r="H2" t="str">
        <v>Наличные</v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>
        <f>IF(OR(E3="",F3=""),"",ROUND(E3*F3,0))</f>
        <v>0</v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>
        <f>IF(OR(E4="",F4=""),"",ROUND(E4*F4,0))</f>
        <v>0</v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f>IF(OR(E5="",F5=""),"",ROUND(E5*F5,0))</f>
        <v>0</v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f>IF(OR(E6="",F6=""),"",ROUND(E6*F6,0))</f>
        <v>0</v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f>IF(OR(E7="",F7=""),"",ROUND(E7*F7,0))</f>
        <v>0</v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f>IF(OR(E8="",F8=""),"",ROUND(E8*F8,0))</f>
        <v>0</v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f>IF(OR(E9="",F9=""),"",ROUND(E9*F9,0))</f>
        <v>0</v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>
        <f>IF(OR(E10="",F10=""),"",ROUND(E10*F10,0))</f>
        <v>0</v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f>IF(OR(E11="",F11=""),"",ROUND(E11*F11,0))</f>
        <v>0</v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f>IF(OR(E12="",F12=""),"",ROUND(E12*F12,0))</f>
        <v>0</v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f>IF(OR(E13="",F13=""),"",ROUND(E13*F13,0))</f>
        <v>0</v>
      </c>
      <c r="H13" t="str">
        <v/>
      </c>
      <c r="I13" t="str">
        <v/>
      </c>
    </row>
    <row r="14">
      <c r="A14" t="str">
        <v>Итого сегодня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f>SUMIF(A:A,TODAY(),G:G)</f>
        <v>0</v>
      </c>
      <c r="H14" t="str">
        <v/>
      </c>
      <c r="I14" t="str">
        <v/>
      </c>
    </row>
    <row r="15">
      <c r="A15" t="str">
        <v>Итого вчера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f>SUMIF(A:A,TODAY()-1,G:G)</f>
        <v>0</v>
      </c>
      <c r="H15" t="str">
        <v/>
      </c>
      <c r="I15" t="str">
        <v/>
      </c>
    </row>
    <row r="16">
      <c r="A16" t="str">
        <v>Итого 7 дней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f>SUMIFS(G:G,A:A,"&gt;="&amp;TODAY()-6)</f>
        <v>0</v>
      </c>
      <c r="H16" t="str">
        <v/>
      </c>
      <c r="I16" t="str">
        <v/>
      </c>
    </row>
  </sheetData>
  <ignoredErrors>
    <ignoredError numberStoredAsText="1" sqref="A1:I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24.83203125" customWidth="1"/>
    <col min="5" max="5" width="14.83203125" customWidth="1"/>
    <col min="6" max="6" width="22.83203125" customWidth="1"/>
    <col min="7" max="7" width="14.83203125" customWidth="1"/>
    <col min="8" max="8" width="20.83203125" customWidth="1"/>
    <col min="9" max="9" width="12.83203125" customWidth="1"/>
    <col min="10" max="10" width="16.83203125" customWidth="1"/>
    <col min="11" max="11" width="18.83203125" customWidth="1"/>
    <col min="12" max="12" width="22.83203125" customWidth="1"/>
  </cols>
  <sheetData>
    <row r="1">
      <c r="A1" t="str">
        <v>Дата</v>
      </c>
      <c r="B1" t="str">
        <v>Наличка на начало</v>
      </c>
      <c r="C1" t="str">
        <v>Приход нал</v>
      </c>
      <c r="D1" t="str">
        <v>Приход эквайринг (сверка)</v>
      </c>
      <c r="E1" t="str">
        <v>Расход прочее</v>
      </c>
      <c r="F1" t="str">
        <v>Описание расхода</v>
      </c>
      <c r="G1" t="str">
        <v>Наличка факт</v>
      </c>
      <c r="H1" t="str">
        <v>Наличка в программе</v>
      </c>
      <c r="I1" t="str">
        <v>Сходится?</v>
      </c>
      <c r="J1" t="str">
        <v>Чеки бухгалтеру</v>
      </c>
      <c r="K1" t="str">
        <v>Комментарий</v>
      </c>
      <c r="L1" t="str">
        <v>Должно быть в ящике</v>
      </c>
    </row>
    <row r="2">
      <c r="A2" t="str">
        <v>2026-09-09</v>
      </c>
      <c r="B2">
        <v>0</v>
      </c>
      <c r="C2">
        <v>0</v>
      </c>
      <c r="D2">
        <v>0</v>
      </c>
      <c r="E2">
        <v>0</v>
      </c>
      <c r="F2" t="str">
        <v/>
      </c>
      <c r="G2">
        <v>0</v>
      </c>
      <c r="H2">
        <v>0</v>
      </c>
      <c r="I2" t="str">
        <v/>
      </c>
      <c r="J2" t="str">
        <v/>
      </c>
      <c r="K2" t="str">
        <v/>
      </c>
      <c r="L2">
        <f>B2+C2-E2</f>
        <v>0</v>
      </c>
    </row>
  </sheetData>
  <ignoredErrors>
    <ignoredError numberStoredAsText="1" sqref="A1:L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6.83203125" customWidth="1"/>
    <col min="3" max="3" width="78.83203125" customWidth="1"/>
    <col min="4" max="4" width="16.83203125" customWidth="1"/>
    <col min="5" max="5" width="24.83203125" customWidth="1"/>
  </cols>
  <sheetData>
    <row r="1">
      <c r="A1" t="str">
        <v>Категория</v>
      </c>
      <c r="B1" t="str">
        <v>№</v>
      </c>
      <c r="C1" t="str">
        <v>Действие</v>
      </c>
      <c r="D1" t="str">
        <v>Готово (да/нет)</v>
      </c>
      <c r="E1" t="str">
        <v>Комментарий</v>
      </c>
    </row>
    <row r="2">
      <c r="A2" t="str">
        <v>Утро</v>
      </c>
      <c r="B2">
        <v>1</v>
      </c>
      <c r="C2" t="str">
        <v>Включить Инфопредприятие → интерфейс кассира</v>
      </c>
      <c r="D2" t="str">
        <v>нет</v>
      </c>
      <c r="E2" t="str">
        <v/>
      </c>
    </row>
    <row r="3">
      <c r="A3" t="str">
        <v>Утро</v>
      </c>
      <c r="B3">
        <v>2</v>
      </c>
      <c r="C3" t="str">
        <v>Пересчитать наличку и сверить с «должно быть» на листе Касса</v>
      </c>
      <c r="D3" t="str">
        <v>нет</v>
      </c>
      <c r="E3" t="str">
        <v/>
      </c>
    </row>
    <row r="4">
      <c r="A4" t="str">
        <v>Утро</v>
      </c>
      <c r="B4">
        <v>3</v>
      </c>
      <c r="C4" t="str">
        <v>Чеки: сумма на чеках = сумма в программе</v>
      </c>
      <c r="D4" t="str">
        <v>нет</v>
      </c>
      <c r="E4" t="str">
        <v/>
      </c>
    </row>
    <row r="5">
      <c r="A5" t="str">
        <v>День</v>
      </c>
      <c r="B5">
        <v>4</v>
      </c>
      <c r="C5" t="str">
        <v>Продажи фурнитуры писать на лист Продажи (нал / карта)</v>
      </c>
      <c r="D5" t="str">
        <v>нет</v>
      </c>
      <c r="E5" t="str">
        <v/>
      </c>
    </row>
    <row r="6">
      <c r="A6" t="str">
        <v>День</v>
      </c>
      <c r="B6">
        <v>5</v>
      </c>
      <c r="C6" t="str">
        <v>Новый распил — Калькулятор, потом строка на Заказы</v>
      </c>
      <c r="D6" t="str">
        <v>нет</v>
      </c>
      <c r="E6" t="str">
        <v/>
      </c>
    </row>
    <row r="7">
      <c r="A7" t="str">
        <v>Закрытие</v>
      </c>
      <c r="B7">
        <v>6</v>
      </c>
      <c r="C7" t="str">
        <v>Инфо: эквайринг АВТО → Д/Р</v>
      </c>
      <c r="D7" t="str">
        <v>нет</v>
      </c>
      <c r="E7" t="str">
        <v/>
      </c>
    </row>
    <row r="8">
      <c r="A8" t="str">
        <v>Закрытие</v>
      </c>
      <c r="B8">
        <v>7</v>
      </c>
      <c r="C8" t="str">
        <v>Инфо: поступление в кассу АВТО → Д/Р</v>
      </c>
      <c r="D8" t="str">
        <v>нет</v>
      </c>
      <c r="E8" t="str">
        <v/>
      </c>
    </row>
    <row r="9">
      <c r="A9" t="str">
        <v>Закрытие</v>
      </c>
      <c r="B9">
        <v>8</v>
      </c>
      <c r="C9" t="str">
        <v>Отдать проверенные чеки бухгалтеру</v>
      </c>
      <c r="D9" t="str">
        <v>нет</v>
      </c>
      <c r="E9" t="str">
        <v/>
      </c>
    </row>
    <row r="10">
      <c r="A10" t="str">
        <v>Закрытие</v>
      </c>
      <c r="B10">
        <v>9</v>
      </c>
      <c r="C10" t="str">
        <v>Сверить остаток в программе и факт на Фурнитуре</v>
      </c>
      <c r="D10" t="str">
        <v>нет</v>
      </c>
      <c r="E10" t="str">
        <v/>
      </c>
    </row>
  </sheetData>
  <ignoredErrors>
    <ignoredError numberStoredAsText="1" sqref="A1:E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40.83203125" customWidth="1"/>
    <col min="3" max="3" width="16.83203125" customWidth="1"/>
    <col min="4" max="4" width="18.83203125" customWidth="1"/>
    <col min="5" max="5" width="14.83203125" customWidth="1"/>
  </cols>
  <sheetData>
    <row r="1">
      <c r="A1">
        <f>QUERY(Фурнитура!A:H;"select A,B,G,H where C = 'Рондо / Ладья' and H &gt; 0";1)</f>
        <v>0</v>
      </c>
    </row>
  </sheetData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40.83203125" customWidth="1"/>
    <col min="3" max="3" width="16.83203125" customWidth="1"/>
    <col min="4" max="4" width="18.83203125" customWidth="1"/>
    <col min="5" max="5" width="14.83203125" customWidth="1"/>
  </cols>
  <sheetData>
    <row r="1">
      <c r="A1">
        <f>QUERY(Фурнитура!A:H;"select A,B,G,H where C = 'Партнер' and H &gt; 0";1)</f>
        <v>0</v>
      </c>
    </row>
  </sheetData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40.83203125" customWidth="1"/>
    <col min="3" max="3" width="16.83203125" customWidth="1"/>
    <col min="4" max="4" width="18.83203125" customWidth="1"/>
    <col min="5" max="5" width="14.83203125" customWidth="1"/>
  </cols>
  <sheetData>
    <row r="1">
      <c r="A1">
        <f>QUERY(Фурнитура!A:H;"select A,B,G,H where C = 'Васильево / Ортус' and H &gt; 0";1)</f>
        <v>0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32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24.83203125" customWidth="1"/>
  </cols>
  <sheetData>
    <row r="1">
      <c r="A1" t="str">
        <v>Дата</v>
      </c>
      <c r="B1" t="str">
        <v>Заказ / что привезли</v>
      </c>
      <c r="C1" t="str">
        <v>Сумма</v>
      </c>
      <c r="D1" t="str">
        <v>Грузчик</v>
      </c>
      <c r="E1" t="str">
        <v>Подпись (да/нет)</v>
      </c>
      <c r="F1" t="str">
        <v>Откуда деньги</v>
      </c>
      <c r="G1" t="str">
        <v>Комментарий</v>
      </c>
    </row>
    <row r="2">
      <c r="A2" t="str">
        <v>2026-09-09</v>
      </c>
      <c r="B2" t="str">
        <v/>
      </c>
      <c r="C2" t="str">
        <v/>
      </c>
      <c r="D2" t="str">
        <v/>
      </c>
      <c r="E2" t="str">
        <v/>
      </c>
      <c r="F2" t="str">
        <v>касса</v>
      </c>
      <c r="G2" t="str">
        <v/>
      </c>
    </row>
  </sheetData>
  <ignoredErrors>
    <ignoredError numberStoredAsText="1" sqref="A1:G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4.83203125" customWidth="1"/>
    <col min="2" max="2" width="22.83203125" customWidth="1"/>
    <col min="3" max="3" width="110.83203125" customWidth="1"/>
  </cols>
  <sheetData>
    <row r="1">
      <c r="A1" t="str">
        <v>Раздел</v>
      </c>
      <c r="B1" t="str">
        <v>Заголовок</v>
      </c>
      <c r="C1" t="str">
        <v>Текст</v>
      </c>
    </row>
    <row r="2">
      <c r="A2" t="str">
        <v>О компании</v>
      </c>
      <c r="B2" t="str">
        <v>РЭЛАН</v>
      </c>
      <c r="C2" t="str">
        <v>Мебельный салон в Лысве. Фурнитура + ЛДСП под заказ. Пн–Пт 9–18, Сб 10–15.</v>
      </c>
    </row>
    <row r="3">
      <c r="A3" t="str">
        <v>О компании</v>
      </c>
      <c r="B3" t="str">
        <v>Направления</v>
      </c>
      <c r="C3" t="str">
        <v>Фурнитура Blum/Hettich/GTV/Boyard; ЛДСП Egger/Kronospan; кромка 0.4/2.0; распил по размерам.</v>
      </c>
    </row>
    <row r="4">
      <c r="A4" t="str">
        <v>Шпаргалка</v>
      </c>
      <c r="B4" t="str">
        <v>Вопросы при заказе</v>
      </c>
      <c r="C4" t="str">
        <v>1) Сторона кромки: левая / правая / обе / нет. 2) Цвет ЛДСП. 3) Срок: 7 / 3 / 1 день.</v>
      </c>
    </row>
    <row r="5">
      <c r="A5" t="str">
        <v>Шпаргалка</v>
      </c>
      <c r="B5" t="str">
        <v>Оплата картой</v>
      </c>
      <c r="C5" t="str">
        <v>Инфо → Платёжные документы → Оплата по эквайрингу → Физ-лицо, П1, основание Л/.../26, без НДС → чек → номер заказа на чеке.</v>
      </c>
    </row>
    <row r="6">
      <c r="A6" t="str">
        <v>Шпаргалка</v>
      </c>
      <c r="B6" t="str">
        <v>Оплата наличными</v>
      </c>
      <c r="C6" t="str">
        <v>Инфо → Поступление в кассу → Физ-лицо, основание Л/.../26, без НДС → чек.</v>
      </c>
    </row>
    <row r="7">
      <c r="A7" t="str">
        <v>Шпаргалка</v>
      </c>
      <c r="B7" t="str">
        <v>Счёт</v>
      </c>
      <c r="C7" t="str">
        <v>Инфо → Счёт → + → номер Л/.../26 → наши услуги → ЛДСП код 02107 → печать.</v>
      </c>
    </row>
    <row r="8">
      <c r="A8" t="str">
        <v>Шпаргалка</v>
      </c>
      <c r="B8" t="str">
        <v>Заказ готов</v>
      </c>
      <c r="C8" t="str">
        <v>Проверить готовность → позвонить → статус «Готов к выдаче» на листе Заказы.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22.83203125" customWidth="1"/>
  </cols>
  <sheetData>
    <row r="1">
      <c r="A1" t="str">
        <v>Поставщик</v>
      </c>
    </row>
    <row r="2">
      <c r="A2" t="str">
        <v>Рондо / Ладья</v>
      </c>
    </row>
    <row r="3">
      <c r="A3" t="str">
        <v>Партнер</v>
      </c>
    </row>
    <row r="4">
      <c r="A4" t="str">
        <v>Васильево / Ортус</v>
      </c>
    </row>
  </sheetData>
  <ignoredErrors>
    <ignoredError numberStoredAsText="1" sqref="A1:A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Дата</v>
      </c>
      <c r="B1" t="str">
        <v>Выручка</v>
      </c>
    </row>
    <row r="2">
      <c r="A2">
        <f>TODAY()-6</f>
        <v>0</v>
      </c>
      <c r="B2">
        <f>SUMIF(Продажи!A:A,A2,Продажи!G:G)</f>
        <v>0</v>
      </c>
    </row>
    <row r="3">
      <c r="A3">
        <f>TODAY()-5</f>
        <v>0</v>
      </c>
      <c r="B3">
        <f>SUMIF(Продажи!A:A,A3,Продажи!G:G)</f>
        <v>0</v>
      </c>
    </row>
    <row r="4">
      <c r="A4">
        <f>TODAY()-4</f>
        <v>0</v>
      </c>
      <c r="B4">
        <f>SUMIF(Продажи!A:A,A4,Продажи!G:G)</f>
        <v>0</v>
      </c>
    </row>
    <row r="5">
      <c r="A5">
        <f>TODAY()-3</f>
        <v>0</v>
      </c>
      <c r="B5">
        <f>SUMIF(Продажи!A:A,A5,Продажи!G:G)</f>
        <v>0</v>
      </c>
    </row>
    <row r="6">
      <c r="A6">
        <f>TODAY()-2</f>
        <v>0</v>
      </c>
      <c r="B6">
        <f>SUMIF(Продажи!A:A,A6,Продажи!G:G)</f>
        <v>0</v>
      </c>
    </row>
    <row r="7">
      <c r="A7">
        <f>TODAY()-1</f>
        <v>0</v>
      </c>
      <c r="B7">
        <f>SUMIF(Продажи!A:A,A7,Продажи!G:G)</f>
        <v>0</v>
      </c>
    </row>
    <row r="8">
      <c r="A8">
        <f>TODAY()-0</f>
        <v>0</v>
      </c>
      <c r="B8">
        <f>SUMIF(Продажи!A:A,A8,Продажи!G:G)</f>
        <v>0</v>
      </c>
    </row>
  </sheetData>
  <ignoredErrors>
    <ignoredError numberStoredAsText="1" sqref="A1:B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92.83203125" customWidth="1"/>
  </cols>
  <sheetData>
    <row r="1">
      <c r="A1" t="str">
        <v>РЭЛАН — рабочая таблица салона</v>
      </c>
    </row>
    <row r="2">
      <c r="A2" t="str">
        <v>Источник логики: github.com/PilotAlya/Nova-2.0 + касса/грузчики салона</v>
      </c>
    </row>
    <row r="3">
      <c r="A3" t="str">
        <v/>
      </c>
    </row>
    <row r="4">
      <c r="A4" t="str">
        <v>Как открыть: залей xlsx на Диск → Открыть с помощью Google Таблицы → Сохранить как Google Таблицу.</v>
      </c>
    </row>
    <row r="5">
      <c r="A5" t="str">
        <v/>
      </c>
    </row>
    <row r="6">
      <c r="A6" t="str">
        <v>Листы из приложения Nova 2.0</v>
      </c>
    </row>
    <row r="7">
      <c r="A7" t="str">
        <v>Главная — цифры дня (выручка, мало товара, заказы, задачи)</v>
      </c>
    </row>
    <row r="8">
      <c r="A8" t="str">
        <v>Фурнитура — склад магазина: код Инфо, мин, закуп/продажа, статус</v>
      </c>
    </row>
    <row r="9">
      <c r="A9" t="str">
        <v>Продажи — чеки за день, способ оплаты</v>
      </c>
    </row>
    <row r="10">
      <c r="A10" t="str">
        <v>Заказы — Л-ки: клиент, размер, материал, статус, предоплата</v>
      </c>
    </row>
    <row r="11">
      <c r="A11" t="str">
        <v>Калькулятор — быстрый расчёт одной детали (полный раскрой в таблице неудобен)</v>
      </c>
    </row>
    <row r="12">
      <c r="A12" t="str">
        <v>Заявки_Рондо / Партнер / Васильево — сами с Фурнитуры, где «Заказать сейчас» &gt; 0</v>
      </c>
    </row>
    <row r="13">
      <c r="A13" t="str">
        <v>Задачи — утро / день / закрытие + сверка с Инфо</v>
      </c>
    </row>
    <row r="14">
      <c r="A14" t="str">
        <v>Шпаргалки — Инфопредприятие и вопросы клиенту</v>
      </c>
    </row>
    <row r="15">
      <c r="A15" t="str">
        <v>Аналитика — неделя выручки</v>
      </c>
    </row>
    <row r="16">
      <c r="A16" t="str">
        <v/>
      </c>
    </row>
    <row r="17">
      <c r="A17" t="str">
        <v>Только для салона (из рабочей тетради)</v>
      </c>
    </row>
    <row r="18">
      <c r="A18" t="str">
        <v>Касса — один ящик, «должно быть» = начало + нал − расход</v>
      </c>
    </row>
    <row r="19">
      <c r="A19" t="str">
        <v>Грузчики — заказ, сумма, подпись</v>
      </c>
    </row>
    <row r="20">
      <c r="A20" t="str">
        <v/>
      </c>
    </row>
    <row r="21">
      <c r="A21" t="str">
        <v>Не переносится в таблицу (нужно приложение): сканер камеры, пуш, цены WB/Ozon вживую, звуковые алерты.</v>
      </c>
    </row>
    <row r="22">
      <c r="A22" t="str">
        <v>Поставщики пиши как на листе Поставщики: Рондо / Ладья · Партнер · Васильево / Ортус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Главная</vt:lpstr>
      <vt:lpstr>Кальк_веб</vt:lpstr>
      <vt:lpstr>Калькулятор</vt:lpstr>
      <vt:lpstr>Материалы_Лки</vt:lpstr>
      <vt:lpstr>Цены_Лки</vt:lpstr>
      <vt:lpstr>Заказы</vt:lpstr>
      <vt:lpstr>Фурнитура</vt:lpstr>
      <vt:lpstr>Продажи</vt:lpstr>
      <vt:lpstr>Касса</vt:lpstr>
      <vt:lpstr>Задачи</vt:lpstr>
      <vt:lpstr>Заявки_Рондо</vt:lpstr>
      <vt:lpstr>Заявки_Партнер</vt:lpstr>
      <vt:lpstr>Заявки_Васильево</vt:lpstr>
      <vt:lpstr>Грузчики</vt:lpstr>
      <vt:lpstr>Шпаргалки</vt:lpstr>
      <vt:lpstr>Поставщики</vt:lpstr>
      <vt:lpstr>Аналитика</vt:lpstr>
      <vt:lpstr>Старт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